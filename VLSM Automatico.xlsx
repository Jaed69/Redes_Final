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edes y protocolos de comunicación\Trabajo_Final\Redes_Final\"/>
    </mc:Choice>
  </mc:AlternateContent>
  <xr:revisionPtr revIDLastSave="0" documentId="13_ncr:1_{EA00EC64-0054-4182-975C-E5A1AF08FFA8}" xr6:coauthVersionLast="47" xr6:coauthVersionMax="47" xr10:uidLastSave="{00000000-0000-0000-0000-000000000000}"/>
  <bookViews>
    <workbookView xWindow="14280" yWindow="0" windowWidth="8856" windowHeight="13776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1" l="1"/>
  <c r="G49" i="1"/>
  <c r="D49" i="1" a="1"/>
  <c r="D49" i="1" s="1"/>
  <c r="H48" i="1"/>
  <c r="G48" i="1"/>
  <c r="D48" i="1" a="1"/>
  <c r="D48" i="1" s="1"/>
  <c r="H47" i="1"/>
  <c r="G47" i="1"/>
  <c r="D47" i="1" a="1"/>
  <c r="D47" i="1" s="1"/>
  <c r="F47" i="1" s="1"/>
  <c r="H46" i="1"/>
  <c r="G46" i="1"/>
  <c r="D46" i="1" a="1"/>
  <c r="D46" i="1" s="1"/>
  <c r="H45" i="1"/>
  <c r="G45" i="1"/>
  <c r="D45" i="1" a="1"/>
  <c r="D45" i="1" s="1"/>
  <c r="H44" i="1"/>
  <c r="G44" i="1"/>
  <c r="D44" i="1" a="1"/>
  <c r="D44" i="1" s="1"/>
  <c r="H43" i="1"/>
  <c r="G43" i="1"/>
  <c r="D43" i="1" a="1"/>
  <c r="D43" i="1" s="1"/>
  <c r="H26" i="1"/>
  <c r="H25" i="1"/>
  <c r="H21" i="1"/>
  <c r="H20" i="1"/>
  <c r="G26" i="1"/>
  <c r="G25" i="1"/>
  <c r="G21" i="1"/>
  <c r="G20" i="1"/>
  <c r="G14" i="1"/>
  <c r="D26" i="1" a="1"/>
  <c r="D26" i="1" s="1"/>
  <c r="D25" i="1" a="1"/>
  <c r="D25" i="1" s="1"/>
  <c r="D21" i="1" a="1"/>
  <c r="D21" i="1" s="1"/>
  <c r="D20" i="1" a="1"/>
  <c r="D20" i="1" s="1"/>
  <c r="H14" i="1"/>
  <c r="D14" i="1" a="1"/>
  <c r="D14" i="1" s="1"/>
  <c r="H15" i="1"/>
  <c r="G15" i="1"/>
  <c r="D15" i="1" a="1"/>
  <c r="D15" i="1" s="1"/>
  <c r="E47" i="1" l="1"/>
  <c r="K47" i="1" s="1"/>
  <c r="F49" i="1"/>
  <c r="E49" i="1"/>
  <c r="F46" i="1"/>
  <c r="E46" i="1"/>
  <c r="F48" i="1"/>
  <c r="E48" i="1"/>
  <c r="F45" i="1"/>
  <c r="E45" i="1"/>
  <c r="E44" i="1"/>
  <c r="F44" i="1"/>
  <c r="E43" i="1"/>
  <c r="F43" i="1"/>
  <c r="F25" i="1"/>
  <c r="E25" i="1"/>
  <c r="F26" i="1"/>
  <c r="E26" i="1"/>
  <c r="F20" i="1"/>
  <c r="E20" i="1"/>
  <c r="F21" i="1"/>
  <c r="E21" i="1"/>
  <c r="E15" i="1"/>
  <c r="F15" i="1"/>
  <c r="F14" i="1"/>
  <c r="E14" i="1"/>
  <c r="J47" i="1" l="1"/>
  <c r="I47" i="1"/>
  <c r="I21" i="1"/>
  <c r="J21" i="1"/>
  <c r="I20" i="1"/>
  <c r="J20" i="1"/>
  <c r="J26" i="1"/>
  <c r="I26" i="1"/>
  <c r="J43" i="1"/>
  <c r="I43" i="1"/>
  <c r="J25" i="1"/>
  <c r="I25" i="1"/>
  <c r="K49" i="1"/>
  <c r="J49" i="1"/>
  <c r="I49" i="1"/>
  <c r="I46" i="1"/>
  <c r="K46" i="1"/>
  <c r="J46" i="1"/>
  <c r="K44" i="1"/>
  <c r="J44" i="1"/>
  <c r="I44" i="1"/>
  <c r="K45" i="1"/>
  <c r="J45" i="1"/>
  <c r="I45" i="1"/>
  <c r="K48" i="1"/>
  <c r="J48" i="1"/>
  <c r="I48" i="1"/>
  <c r="K43" i="1"/>
  <c r="K26" i="1"/>
  <c r="K25" i="1"/>
  <c r="K21" i="1"/>
  <c r="K20" i="1"/>
  <c r="K14" i="1"/>
  <c r="I14" i="1"/>
  <c r="J14" i="1"/>
  <c r="K15" i="1"/>
  <c r="I15" i="1"/>
  <c r="J15" i="1"/>
</calcChain>
</file>

<file path=xl/sharedStrings.xml><?xml version="1.0" encoding="utf-8"?>
<sst xmlns="http://schemas.openxmlformats.org/spreadsheetml/2006/main" count="292" uniqueCount="137">
  <si>
    <t>Ubicación / Nombre de Red</t>
  </si>
  <si>
    <t>Hosts requeridos</t>
  </si>
  <si>
    <t>IP Base Inicial (último octeto)</t>
  </si>
  <si>
    <t>Bits de Host (n)</t>
  </si>
  <si>
    <t>Tamaño del Bloque</t>
  </si>
  <si>
    <t>Máscara CIDR</t>
  </si>
  <si>
    <t>Dirección de Red</t>
  </si>
  <si>
    <t>Primera IP Útil</t>
  </si>
  <si>
    <t>Última IP Útil</t>
  </si>
  <si>
    <t>Broadcast</t>
  </si>
  <si>
    <t>Máscara Decimal (Bonus)</t>
  </si>
  <si>
    <t>Viñedo 1</t>
  </si>
  <si>
    <t>Viñedo 2</t>
  </si>
  <si>
    <t>Viñedo 3</t>
  </si>
  <si>
    <t>Nube</t>
  </si>
  <si>
    <t>Oficina</t>
  </si>
  <si>
    <t>WAN 1</t>
  </si>
  <si>
    <t>WAN 2</t>
  </si>
  <si>
    <t>WAN 3</t>
  </si>
  <si>
    <t>WAN 4</t>
  </si>
  <si>
    <t>WAN 5</t>
  </si>
  <si>
    <t>WAN 6</t>
  </si>
  <si>
    <t>WAN 7</t>
  </si>
  <si>
    <t>Oficina viñedo 1</t>
  </si>
  <si>
    <t>Campo viñedo 1</t>
  </si>
  <si>
    <t>Oficina viñedo 2</t>
  </si>
  <si>
    <t>Campo viñedo 2</t>
  </si>
  <si>
    <t>Red base: 192.168.10.0</t>
  </si>
  <si>
    <t>Oficina viñedo 3</t>
  </si>
  <si>
    <t>Campo viñedo 3</t>
  </si>
  <si>
    <t>VIÑEDO 1</t>
  </si>
  <si>
    <t>Campo</t>
  </si>
  <si>
    <t>Router_Viñedo_1</t>
  </si>
  <si>
    <t>PC_Viñedo_1</t>
  </si>
  <si>
    <t>192.168.10.1</t>
  </si>
  <si>
    <t>192.168.10.2</t>
  </si>
  <si>
    <t>Router_Campo_1</t>
  </si>
  <si>
    <t>MCU_Norte_1</t>
  </si>
  <si>
    <t>Tablet_Viñedo_1</t>
  </si>
  <si>
    <t>192.168.10.3</t>
  </si>
  <si>
    <t>VIÑEDO 2</t>
  </si>
  <si>
    <t>VIÑEDO 3</t>
  </si>
  <si>
    <t>Router_Viñedo_2</t>
  </si>
  <si>
    <t>PC_Viñedo_2</t>
  </si>
  <si>
    <t>Tablet_Viñedo_2</t>
  </si>
  <si>
    <t>Router_Viñedo_3</t>
  </si>
  <si>
    <t>PC_Viñedo_3</t>
  </si>
  <si>
    <t>Tablet_Viñedo_3</t>
  </si>
  <si>
    <t>Router_Campo_2</t>
  </si>
  <si>
    <t>MCU_Norte_2</t>
  </si>
  <si>
    <t>MCU_Oeste_1</t>
  </si>
  <si>
    <t>MCU_Sur_1</t>
  </si>
  <si>
    <t>MCU_Este_1</t>
  </si>
  <si>
    <t>MCU_Oeste_2</t>
  </si>
  <si>
    <t>MCU_Sur_2</t>
  </si>
  <si>
    <t>MCU_Este_2</t>
  </si>
  <si>
    <t>Router_Campo_3</t>
  </si>
  <si>
    <t>MCU_Norte_3</t>
  </si>
  <si>
    <t>MCU_Oeste_3</t>
  </si>
  <si>
    <t>MCU_Sur_3</t>
  </si>
  <si>
    <t>MCU_Este_3</t>
  </si>
  <si>
    <t>192.168.10.33</t>
  </si>
  <si>
    <t>192.168.10.34</t>
  </si>
  <si>
    <t>192.168.10.35</t>
  </si>
  <si>
    <t>Laptop_Campo_1</t>
  </si>
  <si>
    <t>Laptop_Campo_2</t>
  </si>
  <si>
    <t>Laptop_Campo_3</t>
  </si>
  <si>
    <t>255.255.255.252</t>
  </si>
  <si>
    <t xml:space="preserve">Network </t>
  </si>
  <si>
    <t>192.168.10.0</t>
  </si>
  <si>
    <t>192.168.20.0</t>
  </si>
  <si>
    <t>192.168.30.0</t>
  </si>
  <si>
    <t>192.168.40.0</t>
  </si>
  <si>
    <t>192.168.50.0</t>
  </si>
  <si>
    <t>192.168.100.0</t>
  </si>
  <si>
    <t>WANs</t>
  </si>
  <si>
    <t>VLSM Viñedo 1</t>
  </si>
  <si>
    <t>VLSM Viñedo 2</t>
  </si>
  <si>
    <t>Red base: 192.168.20.0</t>
  </si>
  <si>
    <t>Red base: 192.168.30.0</t>
  </si>
  <si>
    <t>255.255.255.224</t>
  </si>
  <si>
    <t>Red base: 192.168.40.0</t>
  </si>
  <si>
    <t>Red base: 192.168.50.0</t>
  </si>
  <si>
    <t>Red base: 192.168.100.0</t>
  </si>
  <si>
    <t>WAN  2</t>
  </si>
  <si>
    <t>Máscara</t>
  </si>
  <si>
    <t>255.255.255.0</t>
  </si>
  <si>
    <t>192.168.20.1</t>
  </si>
  <si>
    <t>192.168.20.3</t>
  </si>
  <si>
    <t>192.168.20.2</t>
  </si>
  <si>
    <t>192.168.30.1</t>
  </si>
  <si>
    <t>192.168.30.2</t>
  </si>
  <si>
    <t>192.168.30.3</t>
  </si>
  <si>
    <t>192.168.10.4</t>
  </si>
  <si>
    <t>192.168.10.5</t>
  </si>
  <si>
    <t>192.168.10.6</t>
  </si>
  <si>
    <t>192.168.20.4</t>
  </si>
  <si>
    <t>192.168.20.5</t>
  </si>
  <si>
    <t>192.168.20.6</t>
  </si>
  <si>
    <t>192.168.30.4</t>
  </si>
  <si>
    <t>192.168.30.5</t>
  </si>
  <si>
    <t>192.168.30.6</t>
  </si>
  <si>
    <t>192.168.100.4</t>
  </si>
  <si>
    <t>192.168.100.5</t>
  </si>
  <si>
    <t>192.168.100.6</t>
  </si>
  <si>
    <t>192.168.100.7</t>
  </si>
  <si>
    <t>192.168.100.1</t>
  </si>
  <si>
    <t>192.168.100.2</t>
  </si>
  <si>
    <t>192.168.100.3</t>
  </si>
  <si>
    <t>192.168.100.12</t>
  </si>
  <si>
    <t>192.168.100.13</t>
  </si>
  <si>
    <t>192.168.100.14</t>
  </si>
  <si>
    <t>192.168.100.15</t>
  </si>
  <si>
    <t>192.168.100.8</t>
  </si>
  <si>
    <t>192.168.100.9</t>
  </si>
  <si>
    <t>192.168.100.10</t>
  </si>
  <si>
    <t>192.168.100.11</t>
  </si>
  <si>
    <t>192.168.100.20</t>
  </si>
  <si>
    <t>192.168.100.21</t>
  </si>
  <si>
    <t>192.168.100.22</t>
  </si>
  <si>
    <t>192.168.100.23</t>
  </si>
  <si>
    <t>192.168.100.16</t>
  </si>
  <si>
    <t>192.168.100.17</t>
  </si>
  <si>
    <t>192.168.100.18</t>
  </si>
  <si>
    <t>192.168.100.19</t>
  </si>
  <si>
    <t>192.168.20.33</t>
  </si>
  <si>
    <t>192.168.20.34</t>
  </si>
  <si>
    <t>192.168.20.35</t>
  </si>
  <si>
    <t>192.168.30.33</t>
  </si>
  <si>
    <t>192.168.30.34</t>
  </si>
  <si>
    <t>192.168.30.35</t>
  </si>
  <si>
    <t>Router_Oficina</t>
  </si>
  <si>
    <t>192.168.100.24</t>
  </si>
  <si>
    <t>192.168.100.25</t>
  </si>
  <si>
    <t>192.168.100.26</t>
  </si>
  <si>
    <t>192.168.100.27</t>
  </si>
  <si>
    <t>Router_Google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</si>
</sst>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  <font>
      <u/>
      <sz val="10"/>
      <color theme="1"/>
      <name val="Arial"/>
      <family val="2"/>
      <scheme val="minor"/>
    </font>
    <font>
      <sz val="8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5" borderId="1" xfId="0" applyFill="1" applyBorder="1"/>
    <xf numFmtId="0" fontId="0" fillId="0" borderId="5" xfId="0" applyBorder="1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3" fillId="5" borderId="1" xfId="0" applyFont="1" applyFill="1" applyBorder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457200</xdr:colOff>
      <xdr:row>1</xdr:row>
      <xdr:rowOff>8964</xdr:rowOff>
    </xdr:from>
    <xdr:to>
      <xdr:col>26</xdr:col>
      <xdr:colOff>396456</xdr:colOff>
      <xdr:row>33</xdr:row>
      <xdr:rowOff>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ED3537-ACC3-2C62-D507-6AA2CA0FA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64235" y="206188"/>
          <a:ext cx="12848433" cy="6302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M79"/>
  <sheetViews>
    <sheetView tabSelected="1" zoomScale="85" zoomScaleNormal="85" workbookViewId="0">
      <selection activeCell="D9" sqref="D9"/>
    </sheetView>
  </sheetViews>
  <sheetFormatPr baseColWidth="10" defaultColWidth="12.5546875" defaultRowHeight="15.75" customHeight="1" x14ac:dyDescent="0.25"/>
  <cols>
    <col min="1" max="1" width="24.109375" customWidth="1"/>
    <col min="2" max="2" width="16.88671875" customWidth="1"/>
    <col min="3" max="3" width="25.88671875" bestFit="1" customWidth="1"/>
    <col min="4" max="4" width="14.109375" bestFit="1" customWidth="1"/>
    <col min="5" max="5" width="17" bestFit="1" customWidth="1"/>
    <col min="6" max="6" width="14.5546875" customWidth="1"/>
    <col min="7" max="7" width="15.33203125" customWidth="1"/>
    <col min="8" max="8" width="16" customWidth="1"/>
    <col min="9" max="9" width="17.44140625" customWidth="1"/>
    <col min="10" max="10" width="16.5546875" customWidth="1"/>
    <col min="11" max="11" width="25" customWidth="1"/>
  </cols>
  <sheetData>
    <row r="3" spans="1:11" ht="15.75" customHeight="1" x14ac:dyDescent="0.25">
      <c r="A3" s="4" t="s">
        <v>0</v>
      </c>
      <c r="B3" s="4" t="s">
        <v>6</v>
      </c>
      <c r="C3" s="4" t="s">
        <v>85</v>
      </c>
      <c r="D3" s="9"/>
      <c r="E3" s="9"/>
      <c r="F3" s="9"/>
    </row>
    <row r="4" spans="1:11" ht="15.75" customHeight="1" x14ac:dyDescent="0.25">
      <c r="A4" s="1" t="s">
        <v>11</v>
      </c>
      <c r="B4" s="1" t="s">
        <v>69</v>
      </c>
      <c r="C4" s="1" t="s">
        <v>86</v>
      </c>
      <c r="D4" s="9"/>
      <c r="E4" s="9"/>
      <c r="F4" s="9"/>
    </row>
    <row r="5" spans="1:11" ht="15.75" customHeight="1" x14ac:dyDescent="0.25">
      <c r="A5" s="1" t="s">
        <v>12</v>
      </c>
      <c r="B5" s="1" t="s">
        <v>70</v>
      </c>
      <c r="C5" s="1" t="s">
        <v>86</v>
      </c>
      <c r="D5" s="9"/>
      <c r="E5" s="9"/>
      <c r="F5" s="9"/>
    </row>
    <row r="6" spans="1:11" ht="15.75" customHeight="1" x14ac:dyDescent="0.25">
      <c r="A6" s="1" t="s">
        <v>13</v>
      </c>
      <c r="B6" s="1" t="s">
        <v>71</v>
      </c>
      <c r="C6" s="1" t="s">
        <v>86</v>
      </c>
      <c r="D6" s="9"/>
      <c r="E6" s="9"/>
      <c r="F6" s="9"/>
    </row>
    <row r="7" spans="1:11" ht="15.75" customHeight="1" x14ac:dyDescent="0.25">
      <c r="A7" s="2" t="s">
        <v>14</v>
      </c>
      <c r="B7" s="1" t="s">
        <v>72</v>
      </c>
      <c r="C7" s="1" t="s">
        <v>86</v>
      </c>
      <c r="D7" s="9"/>
      <c r="E7" s="9"/>
      <c r="F7" s="9"/>
    </row>
    <row r="8" spans="1:11" ht="15.75" customHeight="1" x14ac:dyDescent="0.25">
      <c r="A8" s="1" t="s">
        <v>15</v>
      </c>
      <c r="B8" s="1" t="s">
        <v>73</v>
      </c>
      <c r="C8" s="1" t="s">
        <v>86</v>
      </c>
      <c r="D8" s="9"/>
      <c r="E8" s="9"/>
      <c r="F8" s="9"/>
    </row>
    <row r="9" spans="1:11" ht="15.75" customHeight="1" x14ac:dyDescent="0.25">
      <c r="A9" s="2" t="s">
        <v>75</v>
      </c>
      <c r="B9" s="1" t="s">
        <v>74</v>
      </c>
      <c r="C9" s="1" t="s">
        <v>86</v>
      </c>
      <c r="D9" s="9"/>
      <c r="E9" s="9"/>
      <c r="F9" s="9"/>
    </row>
    <row r="10" spans="1:11" ht="15.75" customHeight="1" x14ac:dyDescent="0.25">
      <c r="B10" s="9"/>
      <c r="C10" s="9"/>
      <c r="D10" s="9"/>
      <c r="E10" s="9"/>
      <c r="F10" s="9"/>
    </row>
    <row r="11" spans="1:11" ht="15.75" customHeight="1" x14ac:dyDescent="0.25">
      <c r="A11" t="s">
        <v>76</v>
      </c>
      <c r="B11" s="9"/>
      <c r="C11" s="9"/>
      <c r="D11" s="9"/>
      <c r="E11" s="9"/>
      <c r="F11" s="9"/>
    </row>
    <row r="12" spans="1:11" ht="15.75" customHeight="1" x14ac:dyDescent="0.25">
      <c r="A12" t="s">
        <v>27</v>
      </c>
    </row>
    <row r="13" spans="1:11" ht="15.75" customHeight="1" x14ac:dyDescent="0.25">
      <c r="A13" s="4" t="s">
        <v>0</v>
      </c>
      <c r="B13" s="4" t="s">
        <v>1</v>
      </c>
      <c r="C13" s="4" t="s">
        <v>2</v>
      </c>
      <c r="D13" s="4" t="s">
        <v>3</v>
      </c>
      <c r="E13" s="4" t="s">
        <v>4</v>
      </c>
      <c r="F13" s="4" t="s">
        <v>5</v>
      </c>
      <c r="G13" s="4" t="s">
        <v>6</v>
      </c>
      <c r="H13" s="4" t="s">
        <v>7</v>
      </c>
      <c r="I13" s="4" t="s">
        <v>8</v>
      </c>
      <c r="J13" s="4" t="s">
        <v>9</v>
      </c>
      <c r="K13" s="4" t="s">
        <v>10</v>
      </c>
    </row>
    <row r="14" spans="1:11" ht="15.75" customHeight="1" x14ac:dyDescent="0.25">
      <c r="A14" s="2" t="s">
        <v>24</v>
      </c>
      <c r="B14" s="1">
        <v>30</v>
      </c>
      <c r="C14" s="1">
        <v>0</v>
      </c>
      <c r="D14" s="1">
        <f t="array" ref="D14">MATCH(TRUE, (2^{0;1;2;3;4;5;6;7;8}) &gt;= (B14+2), 0) - 1</f>
        <v>5</v>
      </c>
      <c r="E14" s="1">
        <f>2^D14</f>
        <v>32</v>
      </c>
      <c r="F14" s="1">
        <f>32-D14</f>
        <v>27</v>
      </c>
      <c r="G14" s="1" t="str">
        <f>CONCATENATE("192.168.10.",C14)</f>
        <v>192.168.10.0</v>
      </c>
      <c r="H14" s="1" t="str">
        <f>CONCATENATE("192.168.10.",C14 +1)</f>
        <v>192.168.10.1</v>
      </c>
      <c r="I14" s="1" t="str">
        <f>CONCATENATE("192.168.10.",C14 + E14 - 2)</f>
        <v>192.168.10.30</v>
      </c>
      <c r="J14" s="1" t="str">
        <f>CONCATENATE("192.168.10.",C14 + E14 - 1)</f>
        <v>192.168.10.31</v>
      </c>
      <c r="K14" s="1" t="str">
        <f>CONCATENATE("255.255.255.", 256 - E14)</f>
        <v>255.255.255.224</v>
      </c>
    </row>
    <row r="15" spans="1:11" ht="15.75" customHeight="1" x14ac:dyDescent="0.25">
      <c r="A15" s="2" t="s">
        <v>23</v>
      </c>
      <c r="B15" s="1">
        <v>20</v>
      </c>
      <c r="C15" s="1">
        <v>32</v>
      </c>
      <c r="D15" s="1">
        <f t="array" ref="D15">MATCH(TRUE, (2^{0;1;2;3;4;5;6;7;8}) &gt;= (B15+2), 0) - 1</f>
        <v>5</v>
      </c>
      <c r="E15" s="1">
        <f>2^D15</f>
        <v>32</v>
      </c>
      <c r="F15" s="1">
        <f>32-D15</f>
        <v>27</v>
      </c>
      <c r="G15" s="1" t="str">
        <f>CONCATENATE("192.168.10.",C15)</f>
        <v>192.168.10.32</v>
      </c>
      <c r="H15" s="1" t="str">
        <f>CONCATENATE("192.168.10.",C15 +1)</f>
        <v>192.168.10.33</v>
      </c>
      <c r="I15" s="1" t="str">
        <f>CONCATENATE("192.168.10.",C15 + E15 - 2)</f>
        <v>192.168.10.62</v>
      </c>
      <c r="J15" s="1" t="str">
        <f>CONCATENATE("192.168.10.",C15 + E15 - 1)</f>
        <v>192.168.10.63</v>
      </c>
      <c r="K15" s="1" t="str">
        <f>CONCATENATE("255.255.255.", 256 - E15)</f>
        <v>255.255.255.224</v>
      </c>
    </row>
    <row r="17" spans="1:11" ht="15.75" customHeight="1" x14ac:dyDescent="0.25">
      <c r="A17" t="s">
        <v>77</v>
      </c>
      <c r="B17" s="9"/>
      <c r="C17" s="9"/>
      <c r="D17" s="9"/>
      <c r="E17" s="9"/>
      <c r="F17" s="10"/>
    </row>
    <row r="18" spans="1:11" ht="15.75" customHeight="1" x14ac:dyDescent="0.25">
      <c r="A18" t="s">
        <v>78</v>
      </c>
    </row>
    <row r="19" spans="1:11" ht="15.75" customHeight="1" x14ac:dyDescent="0.25">
      <c r="A19" s="4" t="s">
        <v>0</v>
      </c>
      <c r="B19" s="4" t="s">
        <v>1</v>
      </c>
      <c r="C19" s="4" t="s">
        <v>2</v>
      </c>
      <c r="D19" s="4" t="s">
        <v>3</v>
      </c>
      <c r="E19" s="4" t="s">
        <v>4</v>
      </c>
      <c r="F19" s="4" t="s">
        <v>5</v>
      </c>
      <c r="G19" s="4" t="s">
        <v>6</v>
      </c>
      <c r="H19" s="4" t="s">
        <v>7</v>
      </c>
      <c r="I19" s="4" t="s">
        <v>8</v>
      </c>
      <c r="J19" s="4" t="s">
        <v>9</v>
      </c>
      <c r="K19" s="4" t="s">
        <v>10</v>
      </c>
    </row>
    <row r="20" spans="1:11" ht="15.75" customHeight="1" x14ac:dyDescent="0.25">
      <c r="A20" s="2" t="s">
        <v>26</v>
      </c>
      <c r="B20" s="1">
        <v>30</v>
      </c>
      <c r="C20" s="1">
        <v>0</v>
      </c>
      <c r="D20" s="1">
        <f t="array" ref="D20">MATCH(TRUE, (2^{0;1;2;3;4;5;6;7;8}) &gt;= (B20+2), 0) - 1</f>
        <v>5</v>
      </c>
      <c r="E20" s="1">
        <f>2^D20</f>
        <v>32</v>
      </c>
      <c r="F20" s="1">
        <f>32-D20</f>
        <v>27</v>
      </c>
      <c r="G20" s="1" t="str">
        <f>CONCATENATE("192.168.20.",C20)</f>
        <v>192.168.20.0</v>
      </c>
      <c r="H20" s="1" t="str">
        <f>CONCATENATE("192.168.20.",C20 +1)</f>
        <v>192.168.20.1</v>
      </c>
      <c r="I20" s="1" t="str">
        <f>CONCATENATE("192.168.20.",C20 + E20 - 2)</f>
        <v>192.168.20.30</v>
      </c>
      <c r="J20" s="1" t="str">
        <f>CONCATENATE("192.168.20.",C20 + E20 - 1)</f>
        <v>192.168.20.31</v>
      </c>
      <c r="K20" s="1" t="str">
        <f>CONCATENATE("255.255.255.", 256 - E20)</f>
        <v>255.255.255.224</v>
      </c>
    </row>
    <row r="21" spans="1:11" ht="15.75" customHeight="1" x14ac:dyDescent="0.25">
      <c r="A21" s="2" t="s">
        <v>25</v>
      </c>
      <c r="B21" s="1">
        <v>20</v>
      </c>
      <c r="C21" s="1">
        <v>32</v>
      </c>
      <c r="D21" s="1">
        <f t="array" ref="D21">MATCH(TRUE, (2^{0;1;2;3;4;5;6;7;8}) &gt;= (B21+2), 0) - 1</f>
        <v>5</v>
      </c>
      <c r="E21" s="1">
        <f>2^D21</f>
        <v>32</v>
      </c>
      <c r="F21" s="1">
        <f>32-D21</f>
        <v>27</v>
      </c>
      <c r="G21" s="1" t="str">
        <f>CONCATENATE("192.168.20.",C21)</f>
        <v>192.168.20.32</v>
      </c>
      <c r="H21" s="1" t="str">
        <f>CONCATENATE("192.168.20.",C21 +1)</f>
        <v>192.168.20.33</v>
      </c>
      <c r="I21" s="1" t="str">
        <f>CONCATENATE("192.168.20.",C21 + E21 - 2)</f>
        <v>192.168.20.62</v>
      </c>
      <c r="J21" s="1" t="str">
        <f>CONCATENATE("192.168.20.",C21 + E21 - 1)</f>
        <v>192.168.20.63</v>
      </c>
      <c r="K21" s="1" t="str">
        <f>CONCATENATE("255.255.255.", 256 - E21)</f>
        <v>255.255.255.224</v>
      </c>
    </row>
    <row r="23" spans="1:11" ht="15.75" customHeight="1" x14ac:dyDescent="0.25">
      <c r="A23" t="s">
        <v>79</v>
      </c>
    </row>
    <row r="24" spans="1:11" ht="15.75" customHeight="1" x14ac:dyDescent="0.25">
      <c r="A24" s="4" t="s">
        <v>0</v>
      </c>
      <c r="B24" s="4" t="s">
        <v>1</v>
      </c>
      <c r="C24" s="4" t="s">
        <v>2</v>
      </c>
      <c r="D24" s="4" t="s">
        <v>3</v>
      </c>
      <c r="E24" s="4" t="s">
        <v>4</v>
      </c>
      <c r="F24" s="4" t="s">
        <v>5</v>
      </c>
      <c r="G24" s="4" t="s">
        <v>6</v>
      </c>
      <c r="H24" s="4" t="s">
        <v>7</v>
      </c>
      <c r="I24" s="4" t="s">
        <v>8</v>
      </c>
      <c r="J24" s="4" t="s">
        <v>9</v>
      </c>
      <c r="K24" s="4" t="s">
        <v>10</v>
      </c>
    </row>
    <row r="25" spans="1:11" ht="15.75" customHeight="1" x14ac:dyDescent="0.25">
      <c r="A25" s="2" t="s">
        <v>29</v>
      </c>
      <c r="B25" s="1">
        <v>30</v>
      </c>
      <c r="C25" s="1">
        <v>0</v>
      </c>
      <c r="D25" s="1">
        <f t="array" ref="D25">MATCH(TRUE, (2^{0;1;2;3;4;5;6;7;8}) &gt;= (B25+2), 0) - 1</f>
        <v>5</v>
      </c>
      <c r="E25" s="1">
        <f>2^D25</f>
        <v>32</v>
      </c>
      <c r="F25" s="1">
        <f>32-D25</f>
        <v>27</v>
      </c>
      <c r="G25" s="1" t="str">
        <f>CONCATENATE("192.168.30.",C25)</f>
        <v>192.168.30.0</v>
      </c>
      <c r="H25" s="1" t="str">
        <f>CONCATENATE("192.168.30.",C25 +1)</f>
        <v>192.168.30.1</v>
      </c>
      <c r="I25" s="1" t="str">
        <f>CONCATENATE("192.168.30.",C25 + E25 - 2)</f>
        <v>192.168.30.30</v>
      </c>
      <c r="J25" s="1" t="str">
        <f>CONCATENATE("192.168.30.",C25 + E25 - 1)</f>
        <v>192.168.30.31</v>
      </c>
      <c r="K25" s="1" t="str">
        <f>CONCATENATE("255.255.255.", 256 - E25)</f>
        <v>255.255.255.224</v>
      </c>
    </row>
    <row r="26" spans="1:11" ht="15.75" customHeight="1" x14ac:dyDescent="0.25">
      <c r="A26" s="2" t="s">
        <v>28</v>
      </c>
      <c r="B26" s="1">
        <v>20</v>
      </c>
      <c r="C26" s="1">
        <v>32</v>
      </c>
      <c r="D26" s="1">
        <f t="array" ref="D26">MATCH(TRUE, (2^{0;1;2;3;4;5;6;7;8}) &gt;= (B26+2), 0) - 1</f>
        <v>5</v>
      </c>
      <c r="E26" s="1">
        <f>2^D26</f>
        <v>32</v>
      </c>
      <c r="F26" s="1">
        <f>32-D26</f>
        <v>27</v>
      </c>
      <c r="G26" s="1" t="str">
        <f>CONCATENATE("192.168.30.",C26)</f>
        <v>192.168.30.32</v>
      </c>
      <c r="H26" s="1" t="str">
        <f>CONCATENATE("192.168.30.",C26 +1)</f>
        <v>192.168.30.33</v>
      </c>
      <c r="I26" s="1" t="str">
        <f>CONCATENATE("192.168.30.",C26 + E26 - 2)</f>
        <v>192.168.30.62</v>
      </c>
      <c r="J26" s="1" t="str">
        <f>CONCATENATE("192.168.30.",C26 + E26 - 1)</f>
        <v>192.168.30.63</v>
      </c>
      <c r="K26" s="1" t="str">
        <f>CONCATENATE("255.255.255.", 256 - E26)</f>
        <v>255.255.255.224</v>
      </c>
    </row>
    <row r="28" spans="1:11" ht="15.75" customHeight="1" x14ac:dyDescent="0.25">
      <c r="A28" t="s">
        <v>14</v>
      </c>
    </row>
    <row r="29" spans="1:11" ht="15.75" customHeight="1" x14ac:dyDescent="0.25">
      <c r="A29" t="s">
        <v>81</v>
      </c>
    </row>
    <row r="30" spans="1:11" ht="15.75" customHeight="1" x14ac:dyDescent="0.25">
      <c r="A30" s="4" t="s">
        <v>0</v>
      </c>
      <c r="B30" s="4" t="s">
        <v>1</v>
      </c>
      <c r="C30" s="4" t="s">
        <v>2</v>
      </c>
      <c r="D30" s="4" t="s">
        <v>3</v>
      </c>
      <c r="E30" s="4" t="s">
        <v>4</v>
      </c>
      <c r="F30" s="4" t="s">
        <v>5</v>
      </c>
      <c r="G30" s="4" t="s">
        <v>6</v>
      </c>
      <c r="H30" s="4" t="s">
        <v>7</v>
      </c>
      <c r="I30" s="4" t="s">
        <v>8</v>
      </c>
      <c r="J30" s="4" t="s">
        <v>9</v>
      </c>
      <c r="K30" s="4" t="s">
        <v>10</v>
      </c>
    </row>
    <row r="31" spans="1:11" ht="15.75" customHeight="1" x14ac:dyDescent="0.25">
      <c r="A31" s="2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.75" customHeight="1" x14ac:dyDescent="0.25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</row>
    <row r="34" spans="1:11" ht="15.75" customHeight="1" x14ac:dyDescent="0.25">
      <c r="A34" t="s">
        <v>15</v>
      </c>
    </row>
    <row r="35" spans="1:11" ht="15.75" customHeight="1" x14ac:dyDescent="0.25">
      <c r="A35" t="s">
        <v>82</v>
      </c>
    </row>
    <row r="36" spans="1:11" ht="15.75" customHeight="1" x14ac:dyDescent="0.25">
      <c r="A36" s="4" t="s">
        <v>0</v>
      </c>
      <c r="B36" s="4" t="s">
        <v>1</v>
      </c>
      <c r="C36" s="4" t="s">
        <v>2</v>
      </c>
      <c r="D36" s="4" t="s">
        <v>3</v>
      </c>
      <c r="E36" s="4" t="s">
        <v>4</v>
      </c>
      <c r="F36" s="4" t="s">
        <v>5</v>
      </c>
      <c r="G36" s="4" t="s">
        <v>6</v>
      </c>
      <c r="H36" s="4" t="s">
        <v>7</v>
      </c>
      <c r="I36" s="4" t="s">
        <v>8</v>
      </c>
      <c r="J36" s="4" t="s">
        <v>9</v>
      </c>
      <c r="K36" s="4" t="s">
        <v>10</v>
      </c>
    </row>
    <row r="37" spans="1:11" ht="15.75" customHeight="1" x14ac:dyDescent="0.25">
      <c r="A37" s="2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.75" customHeight="1" x14ac:dyDescent="0.25">
      <c r="A38" s="2"/>
      <c r="B38" s="1"/>
      <c r="C38" s="1"/>
      <c r="D38" s="1"/>
      <c r="E38" s="1"/>
      <c r="F38" s="1"/>
      <c r="G38" s="1"/>
      <c r="H38" s="1"/>
      <c r="I38" s="1"/>
      <c r="J38" s="1"/>
      <c r="K38" s="1"/>
    </row>
    <row r="40" spans="1:11" ht="15.75" customHeight="1" x14ac:dyDescent="0.25">
      <c r="A40" t="s">
        <v>75</v>
      </c>
    </row>
    <row r="41" spans="1:11" ht="15.75" customHeight="1" x14ac:dyDescent="0.25">
      <c r="A41" t="s">
        <v>83</v>
      </c>
    </row>
    <row r="42" spans="1:11" ht="15.75" customHeight="1" x14ac:dyDescent="0.25">
      <c r="A42" s="4" t="s">
        <v>0</v>
      </c>
      <c r="B42" s="4" t="s">
        <v>1</v>
      </c>
      <c r="C42" s="4" t="s">
        <v>2</v>
      </c>
      <c r="D42" s="4" t="s">
        <v>3</v>
      </c>
      <c r="E42" s="4" t="s">
        <v>4</v>
      </c>
      <c r="F42" s="4" t="s">
        <v>5</v>
      </c>
      <c r="G42" s="4" t="s">
        <v>6</v>
      </c>
      <c r="H42" s="4" t="s">
        <v>7</v>
      </c>
      <c r="I42" s="4" t="s">
        <v>8</v>
      </c>
      <c r="J42" s="4" t="s">
        <v>9</v>
      </c>
      <c r="K42" s="4" t="s">
        <v>10</v>
      </c>
    </row>
    <row r="43" spans="1:11" ht="15.75" customHeight="1" x14ac:dyDescent="0.25">
      <c r="A43" s="2" t="s">
        <v>16</v>
      </c>
      <c r="B43" s="1">
        <v>2</v>
      </c>
      <c r="C43" s="1">
        <v>0</v>
      </c>
      <c r="D43" s="1">
        <f t="array" ref="D43">MATCH(TRUE, (2^{0;1;2;3;4;5;6;7;8}) &gt;= (B43+2), 0) - 1</f>
        <v>2</v>
      </c>
      <c r="E43" s="1">
        <f>2^D43</f>
        <v>4</v>
      </c>
      <c r="F43" s="1">
        <f>32-D43</f>
        <v>30</v>
      </c>
      <c r="G43" s="1" t="str">
        <f>CONCATENATE("192.168.100.",C43)</f>
        <v>192.168.100.0</v>
      </c>
      <c r="H43" s="1" t="str">
        <f>CONCATENATE("192.168.100.",C43 +1)</f>
        <v>192.168.100.1</v>
      </c>
      <c r="I43" s="1" t="str">
        <f>CONCATENATE("192.168.100.",C43 + E43 - 2)</f>
        <v>192.168.100.2</v>
      </c>
      <c r="J43" s="1" t="str">
        <f>CONCATENATE("192.168.100.",C43 + E43 - 1)</f>
        <v>192.168.100.3</v>
      </c>
      <c r="K43" s="1" t="str">
        <f>CONCATENATE("255.255.255.", 256 - E43)</f>
        <v>255.255.255.252</v>
      </c>
    </row>
    <row r="44" spans="1:11" ht="15.75" customHeight="1" x14ac:dyDescent="0.25">
      <c r="A44" s="2" t="s">
        <v>84</v>
      </c>
      <c r="B44" s="1">
        <v>2</v>
      </c>
      <c r="C44" s="1">
        <v>4</v>
      </c>
      <c r="D44" s="1">
        <f t="array" ref="D44">MATCH(TRUE, (2^{0;1;2;3;4;5;6;7;8}) &gt;= (B44+2), 0) - 1</f>
        <v>2</v>
      </c>
      <c r="E44" s="1">
        <f t="shared" ref="E44:E49" si="0">2^D44</f>
        <v>4</v>
      </c>
      <c r="F44" s="1">
        <f t="shared" ref="F44:F48" si="1">32-D44</f>
        <v>30</v>
      </c>
      <c r="G44" s="1" t="str">
        <f t="shared" ref="G44:G48" si="2">CONCATENATE("192.168.100.",C44)</f>
        <v>192.168.100.4</v>
      </c>
      <c r="H44" s="1" t="str">
        <f t="shared" ref="H44:H48" si="3">CONCATENATE("192.168.100.",C44 +1)</f>
        <v>192.168.100.5</v>
      </c>
      <c r="I44" s="1" t="str">
        <f t="shared" ref="I44:I48" si="4">CONCATENATE("192.168.100.",C44 + E44 - 2)</f>
        <v>192.168.100.6</v>
      </c>
      <c r="J44" s="1" t="str">
        <f t="shared" ref="J44:J48" si="5">CONCATENATE("192.168.100.",C44 + E44 - 1)</f>
        <v>192.168.100.7</v>
      </c>
      <c r="K44" s="1" t="str">
        <f t="shared" ref="K44:K48" si="6">CONCATENATE("255.255.255.", 256 - E44)</f>
        <v>255.255.255.252</v>
      </c>
    </row>
    <row r="45" spans="1:11" ht="15.75" customHeight="1" x14ac:dyDescent="0.25">
      <c r="A45" s="2" t="s">
        <v>18</v>
      </c>
      <c r="B45" s="1">
        <v>2</v>
      </c>
      <c r="C45" s="1">
        <v>8</v>
      </c>
      <c r="D45" s="1">
        <f t="array" ref="D45">MATCH(TRUE, (2^{0;1;2;3;4;5;6;7;8}) &gt;= (B45+2), 0) - 1</f>
        <v>2</v>
      </c>
      <c r="E45" s="1">
        <f t="shared" si="0"/>
        <v>4</v>
      </c>
      <c r="F45" s="1">
        <f t="shared" si="1"/>
        <v>30</v>
      </c>
      <c r="G45" s="1" t="str">
        <f t="shared" si="2"/>
        <v>192.168.100.8</v>
      </c>
      <c r="H45" s="1" t="str">
        <f t="shared" si="3"/>
        <v>192.168.100.9</v>
      </c>
      <c r="I45" s="1" t="str">
        <f t="shared" si="4"/>
        <v>192.168.100.10</v>
      </c>
      <c r="J45" s="1" t="str">
        <f t="shared" si="5"/>
        <v>192.168.100.11</v>
      </c>
      <c r="K45" s="1" t="str">
        <f t="shared" si="6"/>
        <v>255.255.255.252</v>
      </c>
    </row>
    <row r="46" spans="1:11" ht="15.75" customHeight="1" x14ac:dyDescent="0.25">
      <c r="A46" s="2" t="s">
        <v>19</v>
      </c>
      <c r="B46" s="1">
        <v>2</v>
      </c>
      <c r="C46" s="1">
        <v>12</v>
      </c>
      <c r="D46" s="1">
        <f t="array" ref="D46">MATCH(TRUE, (2^{0;1;2;3;4;5;6;7;8}) &gt;= (B46+2), 0) - 1</f>
        <v>2</v>
      </c>
      <c r="E46" s="1">
        <f t="shared" si="0"/>
        <v>4</v>
      </c>
      <c r="F46" s="1">
        <f t="shared" si="1"/>
        <v>30</v>
      </c>
      <c r="G46" s="1" t="str">
        <f t="shared" si="2"/>
        <v>192.168.100.12</v>
      </c>
      <c r="H46" s="1" t="str">
        <f t="shared" si="3"/>
        <v>192.168.100.13</v>
      </c>
      <c r="I46" s="1" t="str">
        <f t="shared" si="4"/>
        <v>192.168.100.14</v>
      </c>
      <c r="J46" s="1" t="str">
        <f t="shared" si="5"/>
        <v>192.168.100.15</v>
      </c>
      <c r="K46" s="1" t="str">
        <f t="shared" si="6"/>
        <v>255.255.255.252</v>
      </c>
    </row>
    <row r="47" spans="1:11" ht="15.75" customHeight="1" x14ac:dyDescent="0.25">
      <c r="A47" s="2" t="s">
        <v>20</v>
      </c>
      <c r="B47" s="1">
        <v>2</v>
      </c>
      <c r="C47" s="1">
        <v>16</v>
      </c>
      <c r="D47" s="1">
        <f t="array" ref="D47">MATCH(TRUE, (2^{0;1;2;3;4;5;6;7;8}) &gt;= (B47+2), 0) - 1</f>
        <v>2</v>
      </c>
      <c r="E47" s="1">
        <f t="shared" si="0"/>
        <v>4</v>
      </c>
      <c r="F47" s="1">
        <f t="shared" si="1"/>
        <v>30</v>
      </c>
      <c r="G47" s="1" t="str">
        <f t="shared" si="2"/>
        <v>192.168.100.16</v>
      </c>
      <c r="H47" s="1" t="str">
        <f t="shared" si="3"/>
        <v>192.168.100.17</v>
      </c>
      <c r="I47" s="1" t="str">
        <f t="shared" si="4"/>
        <v>192.168.100.18</v>
      </c>
      <c r="J47" s="1" t="str">
        <f t="shared" si="5"/>
        <v>192.168.100.19</v>
      </c>
      <c r="K47" s="1" t="str">
        <f t="shared" si="6"/>
        <v>255.255.255.252</v>
      </c>
    </row>
    <row r="48" spans="1:11" ht="15.75" customHeight="1" x14ac:dyDescent="0.25">
      <c r="A48" s="2" t="s">
        <v>21</v>
      </c>
      <c r="B48" s="1">
        <v>2</v>
      </c>
      <c r="C48" s="1">
        <v>20</v>
      </c>
      <c r="D48" s="1">
        <f t="array" ref="D48">MATCH(TRUE, (2^{0;1;2;3;4;5;6;7;8}) &gt;= (B48+2), 0) - 1</f>
        <v>2</v>
      </c>
      <c r="E48" s="1">
        <f t="shared" si="0"/>
        <v>4</v>
      </c>
      <c r="F48" s="1">
        <f t="shared" si="1"/>
        <v>30</v>
      </c>
      <c r="G48" s="1" t="str">
        <f t="shared" si="2"/>
        <v>192.168.100.20</v>
      </c>
      <c r="H48" s="1" t="str">
        <f t="shared" si="3"/>
        <v>192.168.100.21</v>
      </c>
      <c r="I48" s="1" t="str">
        <f t="shared" si="4"/>
        <v>192.168.100.22</v>
      </c>
      <c r="J48" s="1" t="str">
        <f t="shared" si="5"/>
        <v>192.168.100.23</v>
      </c>
      <c r="K48" s="1" t="str">
        <f t="shared" si="6"/>
        <v>255.255.255.252</v>
      </c>
    </row>
    <row r="49" spans="1:13" ht="15.75" customHeight="1" x14ac:dyDescent="0.25">
      <c r="A49" s="2" t="s">
        <v>22</v>
      </c>
      <c r="B49" s="1">
        <v>2</v>
      </c>
      <c r="C49" s="1">
        <v>24</v>
      </c>
      <c r="D49" s="1">
        <f t="array" ref="D49">MATCH(TRUE, (2^{0;1;2;3;4;5;6;7;8}) &gt;= (B49+2), 0) - 1</f>
        <v>2</v>
      </c>
      <c r="E49" s="1">
        <f t="shared" si="0"/>
        <v>4</v>
      </c>
      <c r="F49" s="1">
        <f t="shared" ref="F49" si="7">32-D49</f>
        <v>30</v>
      </c>
      <c r="G49" s="1" t="str">
        <f t="shared" ref="G49" si="8">CONCATENATE("192.168.100.",C49)</f>
        <v>192.168.100.24</v>
      </c>
      <c r="H49" s="1" t="str">
        <f t="shared" ref="H49" si="9">CONCATENATE("192.168.100.",C49 +1)</f>
        <v>192.168.100.25</v>
      </c>
      <c r="I49" s="1" t="str">
        <f t="shared" ref="I49" si="10">CONCATENATE("192.168.100.",C49 + E49 - 2)</f>
        <v>192.168.100.26</v>
      </c>
      <c r="J49" s="1" t="str">
        <f t="shared" ref="J49" si="11">CONCATENATE("192.168.100.",C49 + E49 - 1)</f>
        <v>192.168.100.27</v>
      </c>
      <c r="K49" s="1" t="str">
        <f t="shared" ref="K49" si="12">CONCATENATE("255.255.255.", 256 - E49)</f>
        <v>255.255.255.252</v>
      </c>
    </row>
    <row r="51" spans="1:13" ht="15.75" customHeight="1" x14ac:dyDescent="0.25">
      <c r="M51" s="7"/>
    </row>
    <row r="52" spans="1:13" ht="15.75" customHeight="1" x14ac:dyDescent="0.25">
      <c r="A52" s="15" t="s">
        <v>30</v>
      </c>
      <c r="B52" s="16"/>
      <c r="C52" s="17"/>
      <c r="E52" s="12" t="s">
        <v>40</v>
      </c>
      <c r="F52" s="13"/>
      <c r="G52" s="14"/>
      <c r="I52" s="12" t="s">
        <v>41</v>
      </c>
      <c r="J52" s="13"/>
      <c r="K52" s="14"/>
    </row>
    <row r="53" spans="1:13" ht="15.75" customHeight="1" x14ac:dyDescent="0.25">
      <c r="A53" s="18" t="s">
        <v>15</v>
      </c>
      <c r="B53" s="19"/>
      <c r="C53" s="20"/>
      <c r="E53" s="18" t="s">
        <v>15</v>
      </c>
      <c r="F53" s="19"/>
      <c r="G53" s="20"/>
      <c r="I53" s="18" t="s">
        <v>15</v>
      </c>
      <c r="J53" s="19"/>
      <c r="K53" s="20"/>
    </row>
    <row r="54" spans="1:13" ht="15.75" customHeight="1" x14ac:dyDescent="0.25">
      <c r="A54" s="2" t="s">
        <v>32</v>
      </c>
      <c r="B54" s="5" t="s">
        <v>61</v>
      </c>
      <c r="C54" s="2" t="s">
        <v>80</v>
      </c>
      <c r="E54" s="3" t="s">
        <v>42</v>
      </c>
      <c r="F54" s="5" t="s">
        <v>125</v>
      </c>
      <c r="G54" s="2" t="s">
        <v>80</v>
      </c>
      <c r="I54" s="3" t="s">
        <v>45</v>
      </c>
      <c r="J54" s="5" t="s">
        <v>128</v>
      </c>
      <c r="K54" s="2" t="s">
        <v>80</v>
      </c>
    </row>
    <row r="55" spans="1:13" ht="15.75" customHeight="1" x14ac:dyDescent="0.25">
      <c r="A55" s="2" t="s">
        <v>33</v>
      </c>
      <c r="B55" s="2" t="s">
        <v>62</v>
      </c>
      <c r="C55" s="2" t="s">
        <v>80</v>
      </c>
      <c r="E55" s="2" t="s">
        <v>43</v>
      </c>
      <c r="F55" s="2" t="s">
        <v>126</v>
      </c>
      <c r="G55" s="2" t="s">
        <v>80</v>
      </c>
      <c r="I55" s="2" t="s">
        <v>46</v>
      </c>
      <c r="J55" s="2" t="s">
        <v>129</v>
      </c>
      <c r="K55" s="2" t="s">
        <v>80</v>
      </c>
    </row>
    <row r="56" spans="1:13" ht="15.75" customHeight="1" x14ac:dyDescent="0.25">
      <c r="A56" s="2" t="s">
        <v>38</v>
      </c>
      <c r="B56" s="2" t="s">
        <v>63</v>
      </c>
      <c r="C56" s="2" t="s">
        <v>80</v>
      </c>
      <c r="E56" s="2" t="s">
        <v>44</v>
      </c>
      <c r="F56" s="2" t="s">
        <v>127</v>
      </c>
      <c r="G56" s="2" t="s">
        <v>80</v>
      </c>
      <c r="I56" s="2" t="s">
        <v>47</v>
      </c>
      <c r="J56" s="2" t="s">
        <v>130</v>
      </c>
      <c r="K56" s="2" t="s">
        <v>80</v>
      </c>
    </row>
    <row r="57" spans="1:13" ht="15.75" customHeight="1" x14ac:dyDescent="0.25">
      <c r="A57" s="18" t="s">
        <v>31</v>
      </c>
      <c r="B57" s="19"/>
      <c r="C57" s="20"/>
      <c r="E57" s="18" t="s">
        <v>31</v>
      </c>
      <c r="F57" s="19"/>
      <c r="G57" s="20"/>
      <c r="I57" s="18" t="s">
        <v>31</v>
      </c>
      <c r="J57" s="19"/>
      <c r="K57" s="20"/>
    </row>
    <row r="58" spans="1:13" ht="15.75" customHeight="1" x14ac:dyDescent="0.25">
      <c r="A58" s="2" t="s">
        <v>36</v>
      </c>
      <c r="B58" s="5" t="s">
        <v>34</v>
      </c>
      <c r="C58" s="2" t="s">
        <v>80</v>
      </c>
      <c r="E58" s="2" t="s">
        <v>48</v>
      </c>
      <c r="F58" s="5" t="s">
        <v>87</v>
      </c>
      <c r="G58" s="2" t="s">
        <v>80</v>
      </c>
      <c r="I58" s="2" t="s">
        <v>56</v>
      </c>
      <c r="J58" s="11" t="s">
        <v>90</v>
      </c>
      <c r="K58" s="2" t="s">
        <v>80</v>
      </c>
    </row>
    <row r="59" spans="1:13" ht="15.75" customHeight="1" x14ac:dyDescent="0.25">
      <c r="A59" s="2" t="s">
        <v>37</v>
      </c>
      <c r="B59" s="2" t="s">
        <v>35</v>
      </c>
      <c r="C59" s="2" t="s">
        <v>80</v>
      </c>
      <c r="E59" s="2" t="s">
        <v>49</v>
      </c>
      <c r="F59" s="2" t="s">
        <v>89</v>
      </c>
      <c r="G59" s="2" t="s">
        <v>80</v>
      </c>
      <c r="I59" s="2" t="s">
        <v>57</v>
      </c>
      <c r="J59" s="2" t="s">
        <v>91</v>
      </c>
      <c r="K59" s="2" t="s">
        <v>80</v>
      </c>
    </row>
    <row r="60" spans="1:13" ht="15.75" customHeight="1" x14ac:dyDescent="0.25">
      <c r="A60" s="2" t="s">
        <v>50</v>
      </c>
      <c r="B60" s="2" t="s">
        <v>39</v>
      </c>
      <c r="C60" s="2" t="s">
        <v>80</v>
      </c>
      <c r="E60" s="2" t="s">
        <v>53</v>
      </c>
      <c r="F60" s="2" t="s">
        <v>88</v>
      </c>
      <c r="G60" s="2" t="s">
        <v>80</v>
      </c>
      <c r="I60" s="2" t="s">
        <v>58</v>
      </c>
      <c r="J60" s="2" t="s">
        <v>92</v>
      </c>
      <c r="K60" s="2" t="s">
        <v>80</v>
      </c>
    </row>
    <row r="61" spans="1:13" ht="15.75" customHeight="1" x14ac:dyDescent="0.25">
      <c r="A61" s="2" t="s">
        <v>51</v>
      </c>
      <c r="B61" s="2" t="s">
        <v>93</v>
      </c>
      <c r="C61" s="2" t="s">
        <v>80</v>
      </c>
      <c r="E61" s="2" t="s">
        <v>54</v>
      </c>
      <c r="F61" s="2" t="s">
        <v>96</v>
      </c>
      <c r="G61" s="2" t="s">
        <v>80</v>
      </c>
      <c r="I61" s="2" t="s">
        <v>59</v>
      </c>
      <c r="J61" s="2" t="s">
        <v>99</v>
      </c>
      <c r="K61" s="2" t="s">
        <v>80</v>
      </c>
    </row>
    <row r="62" spans="1:13" ht="15.75" customHeight="1" x14ac:dyDescent="0.25">
      <c r="A62" s="6" t="s">
        <v>52</v>
      </c>
      <c r="B62" s="2" t="s">
        <v>94</v>
      </c>
      <c r="C62" s="6" t="s">
        <v>80</v>
      </c>
      <c r="E62" s="2" t="s">
        <v>55</v>
      </c>
      <c r="F62" s="2" t="s">
        <v>97</v>
      </c>
      <c r="G62" s="2" t="s">
        <v>80</v>
      </c>
      <c r="I62" s="2" t="s">
        <v>60</v>
      </c>
      <c r="J62" s="2" t="s">
        <v>100</v>
      </c>
      <c r="K62" s="2" t="s">
        <v>80</v>
      </c>
    </row>
    <row r="63" spans="1:13" ht="15.75" customHeight="1" x14ac:dyDescent="0.25">
      <c r="A63" s="3" t="s">
        <v>64</v>
      </c>
      <c r="B63" s="2" t="s">
        <v>95</v>
      </c>
      <c r="C63" s="2" t="s">
        <v>80</v>
      </c>
      <c r="E63" s="3" t="s">
        <v>65</v>
      </c>
      <c r="F63" s="2" t="s">
        <v>98</v>
      </c>
      <c r="G63" s="2" t="s">
        <v>80</v>
      </c>
      <c r="I63" s="3" t="s">
        <v>66</v>
      </c>
      <c r="J63" s="2" t="s">
        <v>101</v>
      </c>
      <c r="K63" s="2" t="s">
        <v>80</v>
      </c>
    </row>
    <row r="64" spans="1:13" ht="15.75" customHeight="1" x14ac:dyDescent="0.25">
      <c r="A64" s="21" t="s">
        <v>17</v>
      </c>
      <c r="B64" s="19"/>
      <c r="C64" s="20"/>
      <c r="E64" s="21" t="s">
        <v>19</v>
      </c>
      <c r="F64" s="19"/>
      <c r="G64" s="20"/>
      <c r="I64" s="21" t="s">
        <v>21</v>
      </c>
      <c r="J64" s="19"/>
      <c r="K64" s="20"/>
    </row>
    <row r="65" spans="1:11" ht="15.75" customHeight="1" x14ac:dyDescent="0.25">
      <c r="A65" s="3" t="s">
        <v>68</v>
      </c>
      <c r="B65" s="2" t="s">
        <v>102</v>
      </c>
      <c r="C65" s="2" t="s">
        <v>67</v>
      </c>
      <c r="E65" s="3" t="s">
        <v>68</v>
      </c>
      <c r="F65" s="1" t="s">
        <v>109</v>
      </c>
      <c r="G65" s="2" t="s">
        <v>67</v>
      </c>
      <c r="I65" s="3" t="s">
        <v>68</v>
      </c>
      <c r="J65" s="2" t="s">
        <v>117</v>
      </c>
      <c r="K65" s="2" t="s">
        <v>67</v>
      </c>
    </row>
    <row r="66" spans="1:11" ht="15.75" customHeight="1" x14ac:dyDescent="0.25">
      <c r="A66" s="2" t="s">
        <v>32</v>
      </c>
      <c r="B66" s="2" t="s">
        <v>103</v>
      </c>
      <c r="C66" s="2" t="s">
        <v>67</v>
      </c>
      <c r="E66" s="3" t="s">
        <v>42</v>
      </c>
      <c r="F66" s="1" t="s">
        <v>110</v>
      </c>
      <c r="G66" s="2" t="s">
        <v>67</v>
      </c>
      <c r="I66" s="3" t="s">
        <v>45</v>
      </c>
      <c r="J66" s="2" t="s">
        <v>118</v>
      </c>
      <c r="K66" s="2" t="s">
        <v>67</v>
      </c>
    </row>
    <row r="67" spans="1:11" ht="15.75" customHeight="1" x14ac:dyDescent="0.25">
      <c r="A67" s="2" t="s">
        <v>36</v>
      </c>
      <c r="B67" s="2" t="s">
        <v>104</v>
      </c>
      <c r="C67" s="2" t="s">
        <v>67</v>
      </c>
      <c r="E67" s="3" t="s">
        <v>48</v>
      </c>
      <c r="F67" s="1" t="s">
        <v>111</v>
      </c>
      <c r="G67" s="2" t="s">
        <v>67</v>
      </c>
      <c r="I67" s="3" t="s">
        <v>56</v>
      </c>
      <c r="J67" s="2" t="s">
        <v>119</v>
      </c>
      <c r="K67" s="2" t="s">
        <v>67</v>
      </c>
    </row>
    <row r="68" spans="1:11" ht="15.75" customHeight="1" x14ac:dyDescent="0.25">
      <c r="A68" s="3" t="s">
        <v>9</v>
      </c>
      <c r="B68" s="2" t="s">
        <v>105</v>
      </c>
      <c r="C68" s="2" t="s">
        <v>67</v>
      </c>
      <c r="E68" s="3" t="s">
        <v>9</v>
      </c>
      <c r="F68" s="1" t="s">
        <v>112</v>
      </c>
      <c r="G68" s="2" t="s">
        <v>67</v>
      </c>
      <c r="I68" s="3" t="s">
        <v>9</v>
      </c>
      <c r="J68" s="2" t="s">
        <v>120</v>
      </c>
      <c r="K68" s="2" t="s">
        <v>67</v>
      </c>
    </row>
    <row r="69" spans="1:11" ht="15.75" customHeight="1" x14ac:dyDescent="0.25">
      <c r="A69" s="21" t="s">
        <v>16</v>
      </c>
      <c r="B69" s="22"/>
      <c r="C69" s="23"/>
      <c r="E69" s="21" t="s">
        <v>18</v>
      </c>
      <c r="F69" s="19"/>
      <c r="G69" s="20"/>
      <c r="I69" s="21" t="s">
        <v>20</v>
      </c>
      <c r="J69" s="19"/>
      <c r="K69" s="20"/>
    </row>
    <row r="70" spans="1:11" ht="15.75" customHeight="1" x14ac:dyDescent="0.25">
      <c r="A70" s="3" t="s">
        <v>68</v>
      </c>
      <c r="B70" s="2" t="s">
        <v>74</v>
      </c>
      <c r="C70" s="2" t="s">
        <v>67</v>
      </c>
      <c r="E70" s="3" t="s">
        <v>68</v>
      </c>
      <c r="F70" s="2" t="s">
        <v>113</v>
      </c>
      <c r="G70" s="2" t="s">
        <v>67</v>
      </c>
      <c r="I70" s="3" t="s">
        <v>68</v>
      </c>
      <c r="J70" s="2" t="s">
        <v>121</v>
      </c>
      <c r="K70" s="2" t="s">
        <v>67</v>
      </c>
    </row>
    <row r="71" spans="1:11" ht="15.75" customHeight="1" x14ac:dyDescent="0.25">
      <c r="A71" s="2" t="s">
        <v>131</v>
      </c>
      <c r="B71" s="2" t="s">
        <v>106</v>
      </c>
      <c r="C71" s="2" t="s">
        <v>67</v>
      </c>
      <c r="E71" s="3" t="s">
        <v>131</v>
      </c>
      <c r="F71" s="2" t="s">
        <v>114</v>
      </c>
      <c r="G71" s="2" t="s">
        <v>67</v>
      </c>
      <c r="I71" s="3" t="s">
        <v>131</v>
      </c>
      <c r="J71" s="2" t="s">
        <v>122</v>
      </c>
      <c r="K71" s="2" t="s">
        <v>67</v>
      </c>
    </row>
    <row r="72" spans="1:11" ht="15.75" customHeight="1" x14ac:dyDescent="0.25">
      <c r="A72" s="2" t="s">
        <v>32</v>
      </c>
      <c r="B72" s="2" t="s">
        <v>107</v>
      </c>
      <c r="C72" s="2" t="s">
        <v>67</v>
      </c>
      <c r="E72" s="2" t="s">
        <v>42</v>
      </c>
      <c r="F72" s="2" t="s">
        <v>115</v>
      </c>
      <c r="G72" s="2" t="s">
        <v>67</v>
      </c>
      <c r="I72" s="2" t="s">
        <v>45</v>
      </c>
      <c r="J72" s="2" t="s">
        <v>123</v>
      </c>
      <c r="K72" s="2" t="s">
        <v>67</v>
      </c>
    </row>
    <row r="73" spans="1:11" ht="15.75" customHeight="1" x14ac:dyDescent="0.25">
      <c r="A73" s="3" t="s">
        <v>9</v>
      </c>
      <c r="B73" s="2" t="s">
        <v>108</v>
      </c>
      <c r="C73" s="2" t="s">
        <v>67</v>
      </c>
      <c r="E73" s="3" t="s">
        <v>9</v>
      </c>
      <c r="F73" s="2" t="s">
        <v>116</v>
      </c>
      <c r="G73" s="2" t="s">
        <v>67</v>
      </c>
      <c r="I73" s="3" t="s">
        <v>9</v>
      </c>
      <c r="J73" s="2" t="s">
        <v>124</v>
      </c>
      <c r="K73" s="2" t="s">
        <v>67</v>
      </c>
    </row>
    <row r="75" spans="1:11" ht="15.75" customHeight="1" x14ac:dyDescent="0.25">
      <c r="A75" s="21" t="s">
        <v>22</v>
      </c>
      <c r="B75" s="22"/>
      <c r="C75" s="23"/>
    </row>
    <row r="76" spans="1:11" ht="15.75" customHeight="1" x14ac:dyDescent="0.25">
      <c r="A76" s="3" t="s">
        <v>68</v>
      </c>
      <c r="B76" s="2" t="s">
        <v>132</v>
      </c>
      <c r="C76" s="2" t="s">
        <v>67</v>
      </c>
    </row>
    <row r="77" spans="1:11" ht="15.75" customHeight="1" x14ac:dyDescent="0.25">
      <c r="A77" s="2" t="s">
        <v>131</v>
      </c>
      <c r="B77" s="2" t="s">
        <v>133</v>
      </c>
      <c r="C77" s="2" t="s">
        <v>67</v>
      </c>
      <c r="I77" s="8"/>
    </row>
    <row r="78" spans="1:11" ht="15.75" customHeight="1" x14ac:dyDescent="0.25">
      <c r="A78" s="2" t="s">
        <v>136</v>
      </c>
      <c r="B78" s="2" t="s">
        <v>134</v>
      </c>
      <c r="C78" s="2" t="s">
        <v>67</v>
      </c>
    </row>
    <row r="79" spans="1:11" ht="15.75" customHeight="1" x14ac:dyDescent="0.25">
      <c r="A79" s="3" t="s">
        <v>9</v>
      </c>
      <c r="B79" s="2" t="s">
        <v>135</v>
      </c>
      <c r="C79" s="2" t="s">
        <v>67</v>
      </c>
    </row>
  </sheetData>
  <mergeCells count="16">
    <mergeCell ref="A69:C69"/>
    <mergeCell ref="E69:G69"/>
    <mergeCell ref="I69:K69"/>
    <mergeCell ref="A75:C75"/>
    <mergeCell ref="I57:K57"/>
    <mergeCell ref="E57:G57"/>
    <mergeCell ref="A57:C57"/>
    <mergeCell ref="A64:C64"/>
    <mergeCell ref="E64:G64"/>
    <mergeCell ref="I64:K64"/>
    <mergeCell ref="E52:G52"/>
    <mergeCell ref="A52:C52"/>
    <mergeCell ref="A53:C53"/>
    <mergeCell ref="E53:G53"/>
    <mergeCell ref="I53:K53"/>
    <mergeCell ref="I52:K52"/>
  </mergeCells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Luciel</dc:creator>
  <cp:lastModifiedBy>u202214090 (Bances Torres, Francesca Nicole)</cp:lastModifiedBy>
  <dcterms:created xsi:type="dcterms:W3CDTF">2026-05-27T18:50:04Z</dcterms:created>
  <dcterms:modified xsi:type="dcterms:W3CDTF">2026-06-06T00:19:24Z</dcterms:modified>
</cp:coreProperties>
</file>