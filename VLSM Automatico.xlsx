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des y protocolos de comunicación\Trabajo_Final\Redes_Final\"/>
    </mc:Choice>
  </mc:AlternateContent>
  <xr:revisionPtr revIDLastSave="0" documentId="13_ncr:1_{315A1DBB-DC6A-4F19-A508-CC3BAD66F011}" xr6:coauthVersionLast="47" xr6:coauthVersionMax="47" xr10:uidLastSave="{00000000-0000-0000-0000-000000000000}"/>
  <bookViews>
    <workbookView xWindow="1020" yWindow="1488" windowWidth="12792" windowHeight="996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H38" i="1"/>
  <c r="G38" i="1"/>
  <c r="D38" i="1" a="1"/>
  <c r="D38" i="1" s="1"/>
  <c r="H37" i="1"/>
  <c r="G37" i="1"/>
  <c r="D37" i="1" a="1"/>
  <c r="D37" i="1" s="1"/>
  <c r="H4" i="1"/>
  <c r="G4" i="1"/>
  <c r="H31" i="1"/>
  <c r="G31" i="1"/>
  <c r="D31" i="1" a="1"/>
  <c r="D31" i="1" s="1"/>
  <c r="H30" i="1"/>
  <c r="D30" i="1" a="1"/>
  <c r="D30" i="1" s="1"/>
  <c r="G24" i="1"/>
  <c r="G23" i="1"/>
  <c r="H24" i="1"/>
  <c r="D24" i="1" a="1"/>
  <c r="D24" i="1" s="1"/>
  <c r="H23" i="1"/>
  <c r="D23" i="1" a="1"/>
  <c r="D23" i="1" s="1"/>
  <c r="H18" i="1"/>
  <c r="G18" i="1"/>
  <c r="D18" i="1" a="1"/>
  <c r="D18" i="1" s="1"/>
  <c r="H17" i="1"/>
  <c r="G17" i="1"/>
  <c r="D17" i="1" a="1"/>
  <c r="D17" i="1" s="1"/>
  <c r="H16" i="1"/>
  <c r="G16" i="1"/>
  <c r="D16" i="1" a="1"/>
  <c r="D16" i="1" s="1"/>
  <c r="H15" i="1"/>
  <c r="G15" i="1"/>
  <c r="D15" i="1" a="1"/>
  <c r="D15" i="1" s="1"/>
  <c r="H14" i="1"/>
  <c r="G14" i="1"/>
  <c r="D14" i="1" a="1"/>
  <c r="D14" i="1" s="1"/>
  <c r="H13" i="1"/>
  <c r="G13" i="1"/>
  <c r="D13" i="1" a="1"/>
  <c r="D13" i="1" s="1"/>
  <c r="H12" i="1"/>
  <c r="G12" i="1"/>
  <c r="D12" i="1" a="1"/>
  <c r="D12" i="1" s="1"/>
  <c r="F12" i="1" s="1"/>
  <c r="H11" i="1"/>
  <c r="G11" i="1"/>
  <c r="D11" i="1" a="1"/>
  <c r="D11" i="1" s="1"/>
  <c r="F11" i="1" s="1"/>
  <c r="H10" i="1"/>
  <c r="G10" i="1"/>
  <c r="D10" i="1" a="1"/>
  <c r="D10" i="1" s="1"/>
  <c r="H9" i="1"/>
  <c r="G9" i="1"/>
  <c r="D9" i="1" a="1"/>
  <c r="D9" i="1" s="1"/>
  <c r="H8" i="1"/>
  <c r="G8" i="1"/>
  <c r="D8" i="1" a="1"/>
  <c r="D8" i="1" s="1"/>
  <c r="H7" i="1"/>
  <c r="G7" i="1"/>
  <c r="D7" i="1" a="1"/>
  <c r="D7" i="1" s="1"/>
  <c r="H6" i="1"/>
  <c r="G6" i="1"/>
  <c r="D6" i="1" a="1"/>
  <c r="D6" i="1" s="1"/>
  <c r="H5" i="1"/>
  <c r="G5" i="1"/>
  <c r="D5" i="1" a="1"/>
  <c r="D5" i="1" s="1"/>
  <c r="D4" i="1" a="1"/>
  <c r="D4" i="1" s="1"/>
  <c r="E4" i="1" s="1"/>
  <c r="I4" i="1" s="1"/>
  <c r="K4" i="1" l="1"/>
  <c r="J4" i="1"/>
  <c r="E10" i="1"/>
  <c r="F10" i="1"/>
  <c r="F37" i="1"/>
  <c r="E37" i="1"/>
  <c r="F38" i="1"/>
  <c r="E38" i="1"/>
  <c r="F30" i="1"/>
  <c r="E30" i="1"/>
  <c r="F31" i="1"/>
  <c r="E31" i="1"/>
  <c r="F24" i="1"/>
  <c r="E24" i="1"/>
  <c r="F23" i="1"/>
  <c r="E23" i="1"/>
  <c r="E14" i="1"/>
  <c r="F14" i="1"/>
  <c r="F7" i="1"/>
  <c r="E7" i="1"/>
  <c r="F15" i="1"/>
  <c r="E15" i="1"/>
  <c r="E16" i="1"/>
  <c r="F16" i="1"/>
  <c r="E9" i="1"/>
  <c r="F9" i="1"/>
  <c r="F17" i="1"/>
  <c r="E17" i="1"/>
  <c r="F13" i="1"/>
  <c r="E13" i="1"/>
  <c r="E8" i="1"/>
  <c r="F8" i="1"/>
  <c r="E18" i="1"/>
  <c r="F18" i="1"/>
  <c r="E11" i="1"/>
  <c r="E12" i="1"/>
  <c r="F6" i="1"/>
  <c r="E6" i="1"/>
  <c r="E5" i="1"/>
  <c r="F5" i="1"/>
  <c r="F4" i="1"/>
  <c r="I18" i="1" l="1"/>
  <c r="K18" i="1"/>
  <c r="J18" i="1"/>
  <c r="I23" i="1"/>
  <c r="K23" i="1"/>
  <c r="J23" i="1"/>
  <c r="J24" i="1"/>
  <c r="K24" i="1"/>
  <c r="I24" i="1"/>
  <c r="I17" i="1"/>
  <c r="J17" i="1"/>
  <c r="K17" i="1"/>
  <c r="K30" i="1"/>
  <c r="I30" i="1"/>
  <c r="J30" i="1"/>
  <c r="J9" i="1"/>
  <c r="K9" i="1"/>
  <c r="I9" i="1"/>
  <c r="J38" i="1"/>
  <c r="I38" i="1"/>
  <c r="K38" i="1"/>
  <c r="I5" i="1"/>
  <c r="J5" i="1"/>
  <c r="K5" i="1"/>
  <c r="K16" i="1"/>
  <c r="I16" i="1"/>
  <c r="J16" i="1"/>
  <c r="K14" i="1"/>
  <c r="I14" i="1"/>
  <c r="J14" i="1"/>
  <c r="I8" i="1"/>
  <c r="J8" i="1"/>
  <c r="K8" i="1"/>
  <c r="K13" i="1"/>
  <c r="J13" i="1"/>
  <c r="I13" i="1"/>
  <c r="J37" i="1"/>
  <c r="I37" i="1"/>
  <c r="K37" i="1"/>
  <c r="K12" i="1"/>
  <c r="I12" i="1"/>
  <c r="J12" i="1"/>
  <c r="I10" i="1"/>
  <c r="J10" i="1"/>
  <c r="K10" i="1"/>
  <c r="I31" i="1"/>
  <c r="J31" i="1"/>
  <c r="K31" i="1"/>
  <c r="I6" i="1"/>
  <c r="J6" i="1"/>
  <c r="K6" i="1"/>
  <c r="I15" i="1"/>
  <c r="K15" i="1"/>
  <c r="J15" i="1"/>
  <c r="I7" i="1"/>
  <c r="J7" i="1"/>
  <c r="K7" i="1"/>
  <c r="J11" i="1"/>
  <c r="K11" i="1"/>
  <c r="I11" i="1"/>
</calcChain>
</file>

<file path=xl/sharedStrings.xml><?xml version="1.0" encoding="utf-8"?>
<sst xmlns="http://schemas.openxmlformats.org/spreadsheetml/2006/main" count="166" uniqueCount="91">
  <si>
    <t>Estructura de Planificación de Red VLSM</t>
  </si>
  <si>
    <t>Red Base: 192.168.10.0</t>
  </si>
  <si>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</si>
  <si>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</si>
  <si>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</si>
  <si>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</si>
  <si>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</si>
  <si>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</si>
  <si>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</si>
  <si>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</si>
  <si>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</si>
  <si>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</si>
  <si>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</si>
  <si>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</si>
  <si>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</si>
  <si>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</si>
  <si>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</si>
  <si>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</si>
  <si>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</si>
  <si>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</si>
  <si>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</si>
  <si>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</si>
  <si>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</si>
  <si>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</si>
  <si>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</si>
  <si>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WAN 8</t>
  </si>
  <si>
    <t>WAN 9</t>
  </si>
  <si>
    <t>WAN 10</t>
  </si>
  <si>
    <t>Subneteo Interno del Viñedo 1</t>
  </si>
  <si>
    <t>Oficina viñedo 1</t>
  </si>
  <si>
    <t>Campo viñedo 1</t>
  </si>
  <si>
    <t>Quedan libres las ips en el rango de: 8-15</t>
  </si>
  <si>
    <t>Subneteo Interno del Viñedo 2</t>
  </si>
  <si>
    <t>Oficina viñedo 2</t>
  </si>
  <si>
    <t>Campo viñedo 2</t>
  </si>
  <si>
    <t>Red base: 192.168.10.0</t>
  </si>
  <si>
    <t>Red base: 192.168.10.32</t>
  </si>
  <si>
    <t>Subneteo Interno del Viñedo 3</t>
  </si>
  <si>
    <t>Red base: 192.168.10.64</t>
  </si>
  <si>
    <t>Quedan libres las ips en el rango de: 72-79</t>
  </si>
  <si>
    <t>Quedan libres las ips en el rango de: 40-47</t>
  </si>
  <si>
    <t>Oficina viñedo 3</t>
  </si>
  <si>
    <t>Campo viñedo 3</t>
  </si>
  <si>
    <t>VIÑEDO 1</t>
  </si>
  <si>
    <t>Campo</t>
  </si>
  <si>
    <t>Router_Viñedo_1</t>
  </si>
  <si>
    <t>PC_Viñedo_1</t>
  </si>
  <si>
    <t>192.168.10.1</t>
  </si>
  <si>
    <t>192.168.10.2</t>
  </si>
  <si>
    <t>Router_Campo_1</t>
  </si>
  <si>
    <t>192.168.10.17</t>
  </si>
  <si>
    <t>192.168.10.18</t>
  </si>
  <si>
    <t>192.168.10.19</t>
  </si>
  <si>
    <t>192.168.10.20</t>
  </si>
  <si>
    <t>192.168.10.21</t>
  </si>
  <si>
    <t>192.168.10.22</t>
  </si>
  <si>
    <t>MCU_Norte_1</t>
  </si>
  <si>
    <t>Tablet_Viñedo_1</t>
  </si>
  <si>
    <t>192.168.10.3</t>
  </si>
  <si>
    <t>255.255.255.248</t>
  </si>
  <si>
    <t>VIÑEDO 2</t>
  </si>
  <si>
    <t>VIÑEDO 3</t>
  </si>
  <si>
    <t>Router_Viñedo_2</t>
  </si>
  <si>
    <t>PC_Viñedo_2</t>
  </si>
  <si>
    <t>Tablet_Viñedo_2</t>
  </si>
  <si>
    <t>Router_Viñedo_3</t>
  </si>
  <si>
    <t>PC_Viñedo_3</t>
  </si>
  <si>
    <t>Tablet_Viñedo_3</t>
  </si>
  <si>
    <t>Router_Campo_2</t>
  </si>
  <si>
    <t>MCU_Norte_2</t>
  </si>
  <si>
    <t>MCU_Oeste_1</t>
  </si>
  <si>
    <t>MCU_Sur_1</t>
  </si>
  <si>
    <t>MCU_Este_1</t>
  </si>
  <si>
    <t>MCU_Oeste_2</t>
  </si>
  <si>
    <t>MCU_Sur_2</t>
  </si>
  <si>
    <t>MCU_Este_2</t>
  </si>
  <si>
    <t>Router_Campo_3</t>
  </si>
  <si>
    <t>MCU_Norte_3</t>
  </si>
  <si>
    <t>MCU_Oeste_3</t>
  </si>
  <si>
    <t>MCU_Sur_3</t>
  </si>
  <si>
    <t>MCU_Este_3</t>
  </si>
  <si>
    <t>192.168.10.33</t>
  </si>
  <si>
    <t>192.168.10.34</t>
  </si>
  <si>
    <t>192.168.10.35</t>
  </si>
  <si>
    <t>192.168.10.65</t>
  </si>
  <si>
    <t>192.168.10.66</t>
  </si>
  <si>
    <t>192.168.10.67</t>
  </si>
  <si>
    <t>255.255.255.240</t>
  </si>
  <si>
    <t>Laptop_Campo_1</t>
  </si>
  <si>
    <t>Laptop_Campo_2</t>
  </si>
  <si>
    <t>Laptop_Campo_3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</si>
</sst>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5" borderId="1" xfId="0" applyFill="1" applyBorder="1"/>
    <xf numFmtId="0" fontId="0" fillId="0" borderId="5" xfId="0" applyBorder="1"/>
    <xf numFmtId="0" fontId="3" fillId="0" borderId="0" xfId="0" applyFont="1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304800</xdr:colOff>
      <xdr:row>1</xdr:row>
      <xdr:rowOff>108857</xdr:rowOff>
    </xdr:from>
    <xdr:to>
      <xdr:col>27</xdr:col>
      <xdr:colOff>841616</xdr:colOff>
      <xdr:row>33</xdr:row>
      <xdr:rowOff>148593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F684B4-FAB0-DFBB-B555-5D735B76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75229" y="304800"/>
          <a:ext cx="14296359" cy="63099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60"/>
  <sheetViews>
    <sheetView tabSelected="1" topLeftCell="D36" zoomScale="85" zoomScaleNormal="85" workbookViewId="0">
      <selection activeCell="G60" sqref="G60"/>
    </sheetView>
  </sheetViews>
  <sheetFormatPr baseColWidth="10" defaultColWidth="12.5546875" defaultRowHeight="15.75" customHeight="1" x14ac:dyDescent="0.25"/>
  <cols>
    <col min="1" max="1" width="36.109375" bestFit="1" customWidth="1"/>
    <col min="2" max="2" width="15.109375" bestFit="1" customWidth="1"/>
    <col min="3" max="3" width="25.88671875" bestFit="1" customWidth="1"/>
    <col min="4" max="4" width="14.109375" bestFit="1" customWidth="1"/>
    <col min="5" max="5" width="17" bestFit="1" customWidth="1"/>
    <col min="6" max="6" width="14.5546875" customWidth="1"/>
    <col min="7" max="7" width="15.33203125" customWidth="1"/>
    <col min="8" max="8" width="13.109375" bestFit="1" customWidth="1"/>
    <col min="9" max="9" width="16.109375" customWidth="1"/>
    <col min="10" max="10" width="13.88671875" bestFit="1" customWidth="1"/>
    <col min="11" max="11" width="25" customWidth="1"/>
  </cols>
  <sheetData>
    <row r="1" spans="1:11" ht="15.75" customHeight="1" x14ac:dyDescent="0.25">
      <c r="A1" s="1" t="s">
        <v>0</v>
      </c>
    </row>
    <row r="2" spans="1:11" ht="15.75" customHeight="1" x14ac:dyDescent="0.25">
      <c r="A2" s="1" t="s">
        <v>1</v>
      </c>
    </row>
    <row r="3" spans="1:11" ht="15.75" customHeight="1" x14ac:dyDescent="0.2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</row>
    <row r="4" spans="1:11" ht="15.75" customHeight="1" x14ac:dyDescent="0.25">
      <c r="A4" s="2" t="s">
        <v>13</v>
      </c>
      <c r="B4" s="2">
        <v>30</v>
      </c>
      <c r="C4" s="2">
        <v>0</v>
      </c>
      <c r="D4" s="2">
        <f t="array" ref="D4">MATCH(TRUE, (2^{0;1;2;3;4;5;6;7;8}) &gt;= (B4+2), 0) - 1</f>
        <v>5</v>
      </c>
      <c r="E4" s="2">
        <f>2^D4</f>
        <v>32</v>
      </c>
      <c r="F4" s="2">
        <f>32-D4</f>
        <v>27</v>
      </c>
      <c r="G4" s="2" t="str">
        <f>CONCATENATE("192.168.10.",C4)</f>
        <v>192.168.10.0</v>
      </c>
      <c r="H4" s="2" t="str">
        <f>CONCATENATE("192.168.10.",C4 +1)</f>
        <v>192.168.10.1</v>
      </c>
      <c r="I4" s="2" t="str">
        <f>CONCATENATE("192.168.10.",C4 + E4 - 2)</f>
        <v>192.168.10.30</v>
      </c>
      <c r="J4" s="2" t="str">
        <f>CONCATENATE("192.168.10.",C4 + E4 - 1)</f>
        <v>192.168.10.31</v>
      </c>
      <c r="K4" s="2" t="str">
        <f>CONCATENATE("255.255.255.", 256 - E4)</f>
        <v>255.255.255.224</v>
      </c>
    </row>
    <row r="5" spans="1:11" ht="15.75" customHeight="1" x14ac:dyDescent="0.25">
      <c r="A5" s="2" t="s">
        <v>14</v>
      </c>
      <c r="B5" s="2">
        <v>30</v>
      </c>
      <c r="C5" s="2">
        <v>32</v>
      </c>
      <c r="D5" s="2">
        <f t="array" ref="D5">MATCH(TRUE, (2^{0;1;2;3;4;5;6;7;8}) &gt;= (B5+2), 0) - 1</f>
        <v>5</v>
      </c>
      <c r="E5" s="2">
        <f>2^D5</f>
        <v>32</v>
      </c>
      <c r="F5" s="2">
        <f>32-D5</f>
        <v>27</v>
      </c>
      <c r="G5" s="2" t="str">
        <f>CONCATENATE("192.168.10.",C5)</f>
        <v>192.168.10.32</v>
      </c>
      <c r="H5" s="2" t="str">
        <f>CONCATENATE("192.168.10.",C5 +1)</f>
        <v>192.168.10.33</v>
      </c>
      <c r="I5" s="2" t="str">
        <f>CONCATENATE("192.168.10.",C5 + E5 - 2)</f>
        <v>192.168.10.62</v>
      </c>
      <c r="J5" s="2" t="str">
        <f>CONCATENATE("192.168.10.",C5 + E5 - 1)</f>
        <v>192.168.10.63</v>
      </c>
      <c r="K5" s="2" t="str">
        <f>CONCATENATE("255.255.255.", 256 - E5)</f>
        <v>255.255.255.224</v>
      </c>
    </row>
    <row r="6" spans="1:11" ht="15.75" customHeight="1" x14ac:dyDescent="0.25">
      <c r="A6" s="2" t="s">
        <v>15</v>
      </c>
      <c r="B6" s="2">
        <v>30</v>
      </c>
      <c r="C6" s="2">
        <v>64</v>
      </c>
      <c r="D6" s="2">
        <f t="array" ref="D6">MATCH(TRUE, (2^{0;1;2;3;4;5;6;7;8}) &gt;= (B6+2), 0) - 1</f>
        <v>5</v>
      </c>
      <c r="E6" s="2">
        <f>2^D6</f>
        <v>32</v>
      </c>
      <c r="F6" s="2">
        <f>32-D6</f>
        <v>27</v>
      </c>
      <c r="G6" s="2" t="str">
        <f>CONCATENATE("192.168.10.",C6)</f>
        <v>192.168.10.64</v>
      </c>
      <c r="H6" s="2" t="str">
        <f>CONCATENATE("192.168.10.",C6 +1)</f>
        <v>192.168.10.65</v>
      </c>
      <c r="I6" s="2" t="str">
        <f>CONCATENATE("192.168.10.",C6 + E6 - 2)</f>
        <v>192.168.10.94</v>
      </c>
      <c r="J6" s="2" t="str">
        <f>CONCATENATE("192.168.10.",C6 + E6 - 1)</f>
        <v>192.168.10.95</v>
      </c>
      <c r="K6" s="2" t="str">
        <f>CONCATENATE("255.255.255.", 256 - E6)</f>
        <v>255.255.255.224</v>
      </c>
    </row>
    <row r="7" spans="1:11" ht="15.75" customHeight="1" x14ac:dyDescent="0.25">
      <c r="A7" s="3" t="s">
        <v>16</v>
      </c>
      <c r="B7" s="3">
        <v>20</v>
      </c>
      <c r="C7" s="2">
        <v>96</v>
      </c>
      <c r="D7" s="2">
        <f t="array" ref="D7">MATCH(TRUE, (2^{0;1;2;3;4;5;6;7;8}) &gt;= (B7+2), 0) - 1</f>
        <v>5</v>
      </c>
      <c r="E7" s="2">
        <f t="shared" ref="E7:E18" si="0">2^D7</f>
        <v>32</v>
      </c>
      <c r="F7" s="2">
        <f t="shared" ref="F7:F18" si="1">32-D7</f>
        <v>27</v>
      </c>
      <c r="G7" s="2" t="str">
        <f t="shared" ref="G7:G18" si="2">CONCATENATE("192.168.10.",C7)</f>
        <v>192.168.10.96</v>
      </c>
      <c r="H7" s="2" t="str">
        <f t="shared" ref="H7:H18" si="3">CONCATENATE("192.168.10.",C7 +1)</f>
        <v>192.168.10.97</v>
      </c>
      <c r="I7" s="2" t="str">
        <f t="shared" ref="I7:I18" si="4">CONCATENATE("192.168.10.",C7 + E7 - 2)</f>
        <v>192.168.10.126</v>
      </c>
      <c r="J7" s="2" t="str">
        <f t="shared" ref="J7:J18" si="5">CONCATENATE("192.168.10.",C7 + E7 - 1)</f>
        <v>192.168.10.127</v>
      </c>
      <c r="K7" s="2" t="str">
        <f t="shared" ref="K7:K18" si="6">CONCATENATE("255.255.255.", 256 - E7)</f>
        <v>255.255.255.224</v>
      </c>
    </row>
    <row r="8" spans="1:11" ht="15.75" customHeight="1" x14ac:dyDescent="0.25">
      <c r="A8" s="2" t="s">
        <v>17</v>
      </c>
      <c r="B8" s="2">
        <v>20</v>
      </c>
      <c r="C8" s="2">
        <v>128</v>
      </c>
      <c r="D8" s="2">
        <f t="array" ref="D8">MATCH(TRUE, (2^{0;1;2;3;4;5;6;7;8}) &gt;= (B8+2), 0) - 1</f>
        <v>5</v>
      </c>
      <c r="E8" s="2">
        <f t="shared" si="0"/>
        <v>32</v>
      </c>
      <c r="F8" s="2">
        <f t="shared" si="1"/>
        <v>27</v>
      </c>
      <c r="G8" s="2" t="str">
        <f t="shared" si="2"/>
        <v>192.168.10.128</v>
      </c>
      <c r="H8" s="2" t="str">
        <f t="shared" si="3"/>
        <v>192.168.10.129</v>
      </c>
      <c r="I8" s="2" t="str">
        <f t="shared" si="4"/>
        <v>192.168.10.158</v>
      </c>
      <c r="J8" s="2" t="str">
        <f t="shared" si="5"/>
        <v>192.168.10.159</v>
      </c>
      <c r="K8" s="2" t="str">
        <f t="shared" si="6"/>
        <v>255.255.255.224</v>
      </c>
    </row>
    <row r="9" spans="1:11" ht="15.75" customHeight="1" x14ac:dyDescent="0.25">
      <c r="A9" s="3" t="s">
        <v>18</v>
      </c>
      <c r="B9" s="3">
        <v>2</v>
      </c>
      <c r="C9" s="2">
        <v>160</v>
      </c>
      <c r="D9" s="2">
        <f t="array" ref="D9">MATCH(TRUE, (2^{0;1;2;3;4;5;6;7;8}) &gt;= (B9+2), 0) - 1</f>
        <v>2</v>
      </c>
      <c r="E9" s="2">
        <f t="shared" si="0"/>
        <v>4</v>
      </c>
      <c r="F9" s="2">
        <f t="shared" si="1"/>
        <v>30</v>
      </c>
      <c r="G9" s="2" t="str">
        <f t="shared" si="2"/>
        <v>192.168.10.160</v>
      </c>
      <c r="H9" s="2" t="str">
        <f t="shared" si="3"/>
        <v>192.168.10.161</v>
      </c>
      <c r="I9" s="2" t="str">
        <f t="shared" si="4"/>
        <v>192.168.10.162</v>
      </c>
      <c r="J9" s="2" t="str">
        <f t="shared" si="5"/>
        <v>192.168.10.163</v>
      </c>
      <c r="K9" s="2" t="str">
        <f t="shared" si="6"/>
        <v>255.255.255.252</v>
      </c>
    </row>
    <row r="10" spans="1:11" ht="15.75" customHeight="1" x14ac:dyDescent="0.25">
      <c r="A10" s="3" t="s">
        <v>19</v>
      </c>
      <c r="B10" s="4">
        <v>2</v>
      </c>
      <c r="C10" s="2">
        <v>164</v>
      </c>
      <c r="D10" s="2">
        <f t="array" ref="D10">MATCH(TRUE, (2^{0;1;2;3;4;5;6;7;8}) &gt;= (B10+2), 0) - 1</f>
        <v>2</v>
      </c>
      <c r="E10" s="2">
        <f t="shared" si="0"/>
        <v>4</v>
      </c>
      <c r="F10" s="2">
        <f t="shared" si="1"/>
        <v>30</v>
      </c>
      <c r="G10" s="2" t="str">
        <f t="shared" si="2"/>
        <v>192.168.10.164</v>
      </c>
      <c r="H10" s="2" t="str">
        <f t="shared" si="3"/>
        <v>192.168.10.165</v>
      </c>
      <c r="I10" s="2" t="str">
        <f t="shared" si="4"/>
        <v>192.168.10.166</v>
      </c>
      <c r="J10" s="2" t="str">
        <f t="shared" si="5"/>
        <v>192.168.10.167</v>
      </c>
      <c r="K10" s="2" t="str">
        <f t="shared" si="6"/>
        <v>255.255.255.252</v>
      </c>
    </row>
    <row r="11" spans="1:11" ht="15.75" customHeight="1" x14ac:dyDescent="0.25">
      <c r="A11" s="3" t="s">
        <v>20</v>
      </c>
      <c r="B11" s="3">
        <v>2</v>
      </c>
      <c r="C11" s="2">
        <v>168</v>
      </c>
      <c r="D11" s="2">
        <f t="array" ref="D11">MATCH(TRUE, (2^{0;1;2;3;4;5;6;7;8}) &gt;= (B11+2), 0) - 1</f>
        <v>2</v>
      </c>
      <c r="E11" s="2">
        <f t="shared" si="0"/>
        <v>4</v>
      </c>
      <c r="F11" s="2">
        <f t="shared" si="1"/>
        <v>30</v>
      </c>
      <c r="G11" s="2" t="str">
        <f t="shared" si="2"/>
        <v>192.168.10.168</v>
      </c>
      <c r="H11" s="2" t="str">
        <f t="shared" si="3"/>
        <v>192.168.10.169</v>
      </c>
      <c r="I11" s="2" t="str">
        <f t="shared" si="4"/>
        <v>192.168.10.170</v>
      </c>
      <c r="J11" s="2" t="str">
        <f t="shared" si="5"/>
        <v>192.168.10.171</v>
      </c>
      <c r="K11" s="2" t="str">
        <f t="shared" si="6"/>
        <v>255.255.255.252</v>
      </c>
    </row>
    <row r="12" spans="1:11" ht="15.75" customHeight="1" x14ac:dyDescent="0.25">
      <c r="A12" s="3" t="s">
        <v>21</v>
      </c>
      <c r="B12" s="3">
        <v>2</v>
      </c>
      <c r="C12" s="2">
        <v>172</v>
      </c>
      <c r="D12" s="2">
        <f t="array" ref="D12">MATCH(TRUE, (2^{0;1;2;3;4;5;6;7;8}) &gt;= (B12+2), 0) - 1</f>
        <v>2</v>
      </c>
      <c r="E12" s="2">
        <f t="shared" si="0"/>
        <v>4</v>
      </c>
      <c r="F12" s="2">
        <f t="shared" si="1"/>
        <v>30</v>
      </c>
      <c r="G12" s="2" t="str">
        <f t="shared" si="2"/>
        <v>192.168.10.172</v>
      </c>
      <c r="H12" s="2" t="str">
        <f t="shared" si="3"/>
        <v>192.168.10.173</v>
      </c>
      <c r="I12" s="2" t="str">
        <f t="shared" si="4"/>
        <v>192.168.10.174</v>
      </c>
      <c r="J12" s="2" t="str">
        <f t="shared" si="5"/>
        <v>192.168.10.175</v>
      </c>
      <c r="K12" s="2" t="str">
        <f t="shared" si="6"/>
        <v>255.255.255.252</v>
      </c>
    </row>
    <row r="13" spans="1:11" ht="15.75" customHeight="1" x14ac:dyDescent="0.25">
      <c r="A13" s="3" t="s">
        <v>22</v>
      </c>
      <c r="B13" s="3">
        <v>2</v>
      </c>
      <c r="C13" s="2">
        <v>176</v>
      </c>
      <c r="D13" s="2">
        <f t="array" ref="D13">MATCH(TRUE, (2^{0;1;2;3;4;5;6;7;8}) &gt;= (B13+2), 0) - 1</f>
        <v>2</v>
      </c>
      <c r="E13" s="2">
        <f t="shared" si="0"/>
        <v>4</v>
      </c>
      <c r="F13" s="2">
        <f t="shared" si="1"/>
        <v>30</v>
      </c>
      <c r="G13" s="2" t="str">
        <f t="shared" si="2"/>
        <v>192.168.10.176</v>
      </c>
      <c r="H13" s="2" t="str">
        <f t="shared" si="3"/>
        <v>192.168.10.177</v>
      </c>
      <c r="I13" s="2" t="str">
        <f t="shared" si="4"/>
        <v>192.168.10.178</v>
      </c>
      <c r="J13" s="2" t="str">
        <f t="shared" si="5"/>
        <v>192.168.10.179</v>
      </c>
      <c r="K13" s="2" t="str">
        <f t="shared" si="6"/>
        <v>255.255.255.252</v>
      </c>
    </row>
    <row r="14" spans="1:11" ht="15.75" customHeight="1" x14ac:dyDescent="0.25">
      <c r="A14" s="3" t="s">
        <v>23</v>
      </c>
      <c r="B14" s="3">
        <v>2</v>
      </c>
      <c r="C14" s="2">
        <v>180</v>
      </c>
      <c r="D14" s="2">
        <f t="array" ref="D14">MATCH(TRUE, (2^{0;1;2;3;4;5;6;7;8}) &gt;= (B14+2), 0) - 1</f>
        <v>2</v>
      </c>
      <c r="E14" s="2">
        <f t="shared" si="0"/>
        <v>4</v>
      </c>
      <c r="F14" s="2">
        <f t="shared" si="1"/>
        <v>30</v>
      </c>
      <c r="G14" s="2" t="str">
        <f t="shared" si="2"/>
        <v>192.168.10.180</v>
      </c>
      <c r="H14" s="2" t="str">
        <f t="shared" si="3"/>
        <v>192.168.10.181</v>
      </c>
      <c r="I14" s="2" t="str">
        <f t="shared" si="4"/>
        <v>192.168.10.182</v>
      </c>
      <c r="J14" s="2" t="str">
        <f t="shared" si="5"/>
        <v>192.168.10.183</v>
      </c>
      <c r="K14" s="2" t="str">
        <f t="shared" si="6"/>
        <v>255.255.255.252</v>
      </c>
    </row>
    <row r="15" spans="1:11" ht="15.75" customHeight="1" x14ac:dyDescent="0.25">
      <c r="A15" s="3" t="s">
        <v>24</v>
      </c>
      <c r="B15" s="3">
        <v>2</v>
      </c>
      <c r="C15" s="2">
        <v>184</v>
      </c>
      <c r="D15" s="2">
        <f t="array" ref="D15">MATCH(TRUE, (2^{0;1;2;3;4;5;6;7;8}) &gt;= (B15+2), 0) - 1</f>
        <v>2</v>
      </c>
      <c r="E15" s="2">
        <f t="shared" si="0"/>
        <v>4</v>
      </c>
      <c r="F15" s="2">
        <f t="shared" si="1"/>
        <v>30</v>
      </c>
      <c r="G15" s="2" t="str">
        <f t="shared" si="2"/>
        <v>192.168.10.184</v>
      </c>
      <c r="H15" s="2" t="str">
        <f t="shared" si="3"/>
        <v>192.168.10.185</v>
      </c>
      <c r="I15" s="2" t="str">
        <f t="shared" si="4"/>
        <v>192.168.10.186</v>
      </c>
      <c r="J15" s="2" t="str">
        <f t="shared" si="5"/>
        <v>192.168.10.187</v>
      </c>
      <c r="K15" s="2" t="str">
        <f t="shared" si="6"/>
        <v>255.255.255.252</v>
      </c>
    </row>
    <row r="16" spans="1:11" ht="15.75" customHeight="1" x14ac:dyDescent="0.25">
      <c r="A16" s="3" t="s">
        <v>25</v>
      </c>
      <c r="B16" s="3">
        <v>2</v>
      </c>
      <c r="C16" s="2">
        <v>188</v>
      </c>
      <c r="D16" s="2">
        <f t="array" ref="D16">MATCH(TRUE, (2^{0;1;2;3;4;5;6;7;8}) &gt;= (B16+2), 0) - 1</f>
        <v>2</v>
      </c>
      <c r="E16" s="2">
        <f t="shared" si="0"/>
        <v>4</v>
      </c>
      <c r="F16" s="2">
        <f t="shared" si="1"/>
        <v>30</v>
      </c>
      <c r="G16" s="2" t="str">
        <f t="shared" si="2"/>
        <v>192.168.10.188</v>
      </c>
      <c r="H16" s="2" t="str">
        <f t="shared" si="3"/>
        <v>192.168.10.189</v>
      </c>
      <c r="I16" s="2" t="str">
        <f t="shared" si="4"/>
        <v>192.168.10.190</v>
      </c>
      <c r="J16" s="2" t="str">
        <f t="shared" si="5"/>
        <v>192.168.10.191</v>
      </c>
      <c r="K16" s="2" t="str">
        <f t="shared" si="6"/>
        <v>255.255.255.252</v>
      </c>
    </row>
    <row r="17" spans="1:11" ht="15.75" customHeight="1" x14ac:dyDescent="0.25">
      <c r="A17" s="3" t="s">
        <v>26</v>
      </c>
      <c r="B17" s="3">
        <v>2</v>
      </c>
      <c r="C17" s="2">
        <v>192</v>
      </c>
      <c r="D17" s="2">
        <f t="array" ref="D17">MATCH(TRUE, (2^{0;1;2;3;4;5;6;7;8}) &gt;= (B17+2), 0) - 1</f>
        <v>2</v>
      </c>
      <c r="E17" s="2">
        <f t="shared" si="0"/>
        <v>4</v>
      </c>
      <c r="F17" s="2">
        <f t="shared" si="1"/>
        <v>30</v>
      </c>
      <c r="G17" s="2" t="str">
        <f t="shared" si="2"/>
        <v>192.168.10.192</v>
      </c>
      <c r="H17" s="2" t="str">
        <f t="shared" si="3"/>
        <v>192.168.10.193</v>
      </c>
      <c r="I17" s="2" t="str">
        <f t="shared" si="4"/>
        <v>192.168.10.194</v>
      </c>
      <c r="J17" s="2" t="str">
        <f t="shared" si="5"/>
        <v>192.168.10.195</v>
      </c>
      <c r="K17" s="2" t="str">
        <f t="shared" si="6"/>
        <v>255.255.255.252</v>
      </c>
    </row>
    <row r="18" spans="1:11" ht="15.75" customHeight="1" x14ac:dyDescent="0.25">
      <c r="A18" s="3" t="s">
        <v>27</v>
      </c>
      <c r="B18" s="3">
        <v>2</v>
      </c>
      <c r="C18" s="2">
        <v>196</v>
      </c>
      <c r="D18" s="2">
        <f t="array" ref="D18">MATCH(TRUE, (2^{0;1;2;3;4;5;6;7;8}) &gt;= (B18+2), 0) - 1</f>
        <v>2</v>
      </c>
      <c r="E18" s="2">
        <f t="shared" si="0"/>
        <v>4</v>
      </c>
      <c r="F18" s="2">
        <f t="shared" si="1"/>
        <v>30</v>
      </c>
      <c r="G18" s="2" t="str">
        <f t="shared" si="2"/>
        <v>192.168.10.196</v>
      </c>
      <c r="H18" s="2" t="str">
        <f t="shared" si="3"/>
        <v>192.168.10.197</v>
      </c>
      <c r="I18" s="2" t="str">
        <f t="shared" si="4"/>
        <v>192.168.10.198</v>
      </c>
      <c r="J18" s="2" t="str">
        <f t="shared" si="5"/>
        <v>192.168.10.199</v>
      </c>
      <c r="K18" s="2" t="str">
        <f t="shared" si="6"/>
        <v>255.255.255.252</v>
      </c>
    </row>
    <row r="19" spans="1:11" ht="15.75" customHeight="1" x14ac:dyDescent="0.25">
      <c r="C19" s="1"/>
      <c r="D19" s="1"/>
      <c r="E19" s="1"/>
      <c r="F19" s="1"/>
      <c r="G19" s="1"/>
      <c r="H19" s="1"/>
      <c r="I19" s="1"/>
      <c r="J19" s="1"/>
      <c r="K19" s="1"/>
    </row>
    <row r="20" spans="1:11" ht="15.75" customHeight="1" x14ac:dyDescent="0.25">
      <c r="A20" t="s">
        <v>28</v>
      </c>
    </row>
    <row r="21" spans="1:11" ht="15.75" customHeight="1" x14ac:dyDescent="0.25">
      <c r="A21" t="s">
        <v>35</v>
      </c>
    </row>
    <row r="22" spans="1:11" ht="15.75" customHeight="1" x14ac:dyDescent="0.25">
      <c r="A22" s="5" t="s">
        <v>2</v>
      </c>
      <c r="B22" s="5" t="s">
        <v>3</v>
      </c>
      <c r="C22" s="5" t="s">
        <v>4</v>
      </c>
      <c r="D22" s="5" t="s">
        <v>5</v>
      </c>
      <c r="E22" s="5" t="s">
        <v>6</v>
      </c>
      <c r="F22" s="5" t="s">
        <v>7</v>
      </c>
      <c r="G22" s="5" t="s">
        <v>8</v>
      </c>
      <c r="H22" s="5" t="s">
        <v>9</v>
      </c>
      <c r="I22" s="5" t="s">
        <v>10</v>
      </c>
      <c r="J22" s="5" t="s">
        <v>11</v>
      </c>
      <c r="K22" s="5" t="s">
        <v>12</v>
      </c>
    </row>
    <row r="23" spans="1:11" ht="15.75" customHeight="1" x14ac:dyDescent="0.25">
      <c r="A23" s="3" t="s">
        <v>29</v>
      </c>
      <c r="B23" s="2">
        <v>6</v>
      </c>
      <c r="C23" s="2">
        <v>0</v>
      </c>
      <c r="D23" s="2">
        <f t="array" ref="D23">MATCH(TRUE, (2^{0;1;2;3;4;5;6;7;8}) &gt;= (B23+2), 0) - 1</f>
        <v>3</v>
      </c>
      <c r="E23" s="2">
        <f>2^D23</f>
        <v>8</v>
      </c>
      <c r="F23" s="2">
        <f>32-D23</f>
        <v>29</v>
      </c>
      <c r="G23" s="2" t="str">
        <f>CONCATENATE("192.168.10.",C23)</f>
        <v>192.168.10.0</v>
      </c>
      <c r="H23" s="2" t="str">
        <f>CONCATENATE("192.168.10.",C23 +1)</f>
        <v>192.168.10.1</v>
      </c>
      <c r="I23" s="2" t="str">
        <f>CONCATENATE("192.168.10.",C23 + E23 - 2)</f>
        <v>192.168.10.6</v>
      </c>
      <c r="J23" s="2" t="str">
        <f>CONCATENATE("192.168.10.",C23 + E23 - 1)</f>
        <v>192.168.10.7</v>
      </c>
      <c r="K23" s="2" t="str">
        <f>CONCATENATE("255.255.255.", 256 - E23)</f>
        <v>255.255.255.248</v>
      </c>
    </row>
    <row r="24" spans="1:11" ht="15.75" customHeight="1" x14ac:dyDescent="0.25">
      <c r="A24" s="3" t="s">
        <v>30</v>
      </c>
      <c r="B24" s="2">
        <v>13</v>
      </c>
      <c r="C24" s="2">
        <v>16</v>
      </c>
      <c r="D24" s="2">
        <f t="array" ref="D24">MATCH(TRUE, (2^{0;1;2;3;4;5;6;7;8}) &gt;= (B24+2), 0) - 1</f>
        <v>4</v>
      </c>
      <c r="E24" s="2">
        <f>2^D24</f>
        <v>16</v>
      </c>
      <c r="F24" s="2">
        <f>32-D24</f>
        <v>28</v>
      </c>
      <c r="G24" s="2" t="str">
        <f>CONCATENATE("192.168.10.",C24)</f>
        <v>192.168.10.16</v>
      </c>
      <c r="H24" s="2" t="str">
        <f>CONCATENATE("192.168.10.",C24 +1)</f>
        <v>192.168.10.17</v>
      </c>
      <c r="I24" s="2" t="str">
        <f>CONCATENATE("192.168.10.",C24 + E24 - 2)</f>
        <v>192.168.10.30</v>
      </c>
      <c r="J24" s="2" t="str">
        <f>CONCATENATE("192.168.10.",C24 + E24 - 1)</f>
        <v>192.168.10.31</v>
      </c>
      <c r="K24" s="2" t="str">
        <f>CONCATENATE("255.255.255.", 256 - E24)</f>
        <v>255.255.255.240</v>
      </c>
    </row>
    <row r="25" spans="1:11" ht="15.75" customHeight="1" x14ac:dyDescent="0.25">
      <c r="A25" t="s">
        <v>31</v>
      </c>
    </row>
    <row r="27" spans="1:11" ht="15.75" customHeight="1" x14ac:dyDescent="0.25">
      <c r="A27" t="s">
        <v>32</v>
      </c>
    </row>
    <row r="28" spans="1:11" ht="15.75" customHeight="1" x14ac:dyDescent="0.25">
      <c r="A28" t="s">
        <v>36</v>
      </c>
    </row>
    <row r="29" spans="1:11" ht="15.75" customHeight="1" x14ac:dyDescent="0.25">
      <c r="A29" s="5" t="s">
        <v>2</v>
      </c>
      <c r="B29" s="5" t="s">
        <v>3</v>
      </c>
      <c r="C29" s="5" t="s">
        <v>4</v>
      </c>
      <c r="D29" s="5" t="s">
        <v>5</v>
      </c>
      <c r="E29" s="5" t="s">
        <v>6</v>
      </c>
      <c r="F29" s="5" t="s">
        <v>7</v>
      </c>
      <c r="G29" s="5" t="s">
        <v>8</v>
      </c>
      <c r="H29" s="5" t="s">
        <v>9</v>
      </c>
      <c r="I29" s="5" t="s">
        <v>10</v>
      </c>
      <c r="J29" s="5" t="s">
        <v>11</v>
      </c>
      <c r="K29" s="5" t="s">
        <v>12</v>
      </c>
    </row>
    <row r="30" spans="1:11" ht="15.75" customHeight="1" x14ac:dyDescent="0.25">
      <c r="A30" s="3" t="s">
        <v>33</v>
      </c>
      <c r="B30" s="2">
        <v>6</v>
      </c>
      <c r="C30" s="2">
        <v>32</v>
      </c>
      <c r="D30" s="2">
        <f t="array" ref="D30">MATCH(TRUE, (2^{0;1;2;3;4;5;6;7;8}) &gt;= (B30+2), 0) - 1</f>
        <v>3</v>
      </c>
      <c r="E30" s="2">
        <f>2^D30</f>
        <v>8</v>
      </c>
      <c r="F30" s="2">
        <f>32-D30</f>
        <v>29</v>
      </c>
      <c r="G30" s="2" t="str">
        <f>CONCATENATE("192.168.10.",C30)</f>
        <v>192.168.10.32</v>
      </c>
      <c r="H30" s="2" t="str">
        <f>CONCATENATE("192.168.10.",C30 +1)</f>
        <v>192.168.10.33</v>
      </c>
      <c r="I30" s="2" t="str">
        <f>CONCATENATE("192.168.10.",C30 + E30 - 2)</f>
        <v>192.168.10.38</v>
      </c>
      <c r="J30" s="2" t="str">
        <f>CONCATENATE("192.168.10.",C30 + E30 - 1)</f>
        <v>192.168.10.39</v>
      </c>
      <c r="K30" s="2" t="str">
        <f>CONCATENATE("255.255.255.", 256 - E30)</f>
        <v>255.255.255.248</v>
      </c>
    </row>
    <row r="31" spans="1:11" ht="15.75" customHeight="1" x14ac:dyDescent="0.25">
      <c r="A31" s="3" t="s">
        <v>34</v>
      </c>
      <c r="B31" s="2">
        <v>13</v>
      </c>
      <c r="C31" s="2">
        <v>48</v>
      </c>
      <c r="D31" s="2">
        <f t="array" ref="D31">MATCH(TRUE, (2^{0;1;2;3;4;5;6;7;8}) &gt;= (B31+2), 0) - 1</f>
        <v>4</v>
      </c>
      <c r="E31" s="2">
        <f>2^D31</f>
        <v>16</v>
      </c>
      <c r="F31" s="2">
        <f>32-D31</f>
        <v>28</v>
      </c>
      <c r="G31" s="2" t="str">
        <f>CONCATENATE("192.168.10.",C31)</f>
        <v>192.168.10.48</v>
      </c>
      <c r="H31" s="2" t="str">
        <f>CONCATENATE("192.168.10.",C31 +1)</f>
        <v>192.168.10.49</v>
      </c>
      <c r="I31" s="2" t="str">
        <f>CONCATENATE("192.168.10.",C31 + E31 - 2)</f>
        <v>192.168.10.62</v>
      </c>
      <c r="J31" s="2" t="str">
        <f>CONCATENATE("192.168.10.",C31 + E31 - 1)</f>
        <v>192.168.10.63</v>
      </c>
      <c r="K31" s="2" t="str">
        <f>CONCATENATE("255.255.255.", 256 - E31)</f>
        <v>255.255.255.240</v>
      </c>
    </row>
    <row r="32" spans="1:11" ht="15.75" customHeight="1" x14ac:dyDescent="0.25">
      <c r="A32" t="s">
        <v>40</v>
      </c>
    </row>
    <row r="34" spans="1:11" ht="15.75" customHeight="1" x14ac:dyDescent="0.25">
      <c r="A34" t="s">
        <v>37</v>
      </c>
    </row>
    <row r="35" spans="1:11" ht="15.75" customHeight="1" x14ac:dyDescent="0.25">
      <c r="A35" t="s">
        <v>38</v>
      </c>
    </row>
    <row r="36" spans="1:11" ht="15.75" customHeight="1" x14ac:dyDescent="0.25">
      <c r="A36" s="5" t="s">
        <v>2</v>
      </c>
      <c r="B36" s="5" t="s">
        <v>3</v>
      </c>
      <c r="C36" s="5" t="s">
        <v>4</v>
      </c>
      <c r="D36" s="5" t="s">
        <v>5</v>
      </c>
      <c r="E36" s="5" t="s">
        <v>6</v>
      </c>
      <c r="F36" s="5" t="s">
        <v>7</v>
      </c>
      <c r="G36" s="5" t="s">
        <v>8</v>
      </c>
      <c r="H36" s="5" t="s">
        <v>9</v>
      </c>
      <c r="I36" s="5" t="s">
        <v>10</v>
      </c>
      <c r="J36" s="5" t="s">
        <v>11</v>
      </c>
      <c r="K36" s="5" t="s">
        <v>12</v>
      </c>
    </row>
    <row r="37" spans="1:11" ht="15.75" customHeight="1" x14ac:dyDescent="0.25">
      <c r="A37" s="3" t="s">
        <v>41</v>
      </c>
      <c r="B37" s="2">
        <v>6</v>
      </c>
      <c r="C37" s="2">
        <v>64</v>
      </c>
      <c r="D37" s="2">
        <f t="array" ref="D37">MATCH(TRUE, (2^{0;1;2;3;4;5;6;7;8}) &gt;= (B37+2), 0) - 1</f>
        <v>3</v>
      </c>
      <c r="E37" s="2">
        <f>2^D37</f>
        <v>8</v>
      </c>
      <c r="F37" s="2">
        <f>32-D37</f>
        <v>29</v>
      </c>
      <c r="G37" s="2" t="str">
        <f>CONCATENATE("192.168.10.",C37)</f>
        <v>192.168.10.64</v>
      </c>
      <c r="H37" s="2" t="str">
        <f>CONCATENATE("192.168.10.",C37 +1)</f>
        <v>192.168.10.65</v>
      </c>
      <c r="I37" s="2" t="str">
        <f>CONCATENATE("192.168.10.",C37 + E37 - 2)</f>
        <v>192.168.10.70</v>
      </c>
      <c r="J37" s="2" t="str">
        <f>CONCATENATE("192.168.10.",C37 + E37 - 1)</f>
        <v>192.168.10.71</v>
      </c>
      <c r="K37" s="2" t="str">
        <f>CONCATENATE("255.255.255.", 256 - E37)</f>
        <v>255.255.255.248</v>
      </c>
    </row>
    <row r="38" spans="1:11" ht="15.75" customHeight="1" x14ac:dyDescent="0.25">
      <c r="A38" s="3" t="s">
        <v>42</v>
      </c>
      <c r="B38" s="2">
        <v>13</v>
      </c>
      <c r="C38" s="2">
        <v>80</v>
      </c>
      <c r="D38" s="2">
        <f t="array" ref="D38">MATCH(TRUE, (2^{0;1;2;3;4;5;6;7;8}) &gt;= (B38+2), 0) - 1</f>
        <v>4</v>
      </c>
      <c r="E38" s="2">
        <f>2^D38</f>
        <v>16</v>
      </c>
      <c r="F38" s="2">
        <f>32-D38</f>
        <v>28</v>
      </c>
      <c r="G38" s="2" t="str">
        <f>CONCATENATE("192.168.10.",C38)</f>
        <v>192.168.10.80</v>
      </c>
      <c r="H38" s="2" t="str">
        <f>CONCATENATE("192.168.10.",C38 +1)</f>
        <v>192.168.10.81</v>
      </c>
      <c r="I38" s="2" t="str">
        <f>CONCATENATE("192.168.10.",C38 + E38 - 2)</f>
        <v>192.168.10.94</v>
      </c>
      <c r="J38" s="2" t="str">
        <f>CONCATENATE("192.168.10.",C38 + E38 - 1)</f>
        <v>192.168.10.95</v>
      </c>
      <c r="K38" s="2" t="str">
        <f>CONCATENATE("255.255.255.", 256 - E38)</f>
        <v>255.255.255.240</v>
      </c>
    </row>
    <row r="39" spans="1:11" ht="15.75" customHeight="1" x14ac:dyDescent="0.25">
      <c r="A39" t="s">
        <v>39</v>
      </c>
    </row>
    <row r="41" spans="1:11" ht="15.75" customHeight="1" x14ac:dyDescent="0.25">
      <c r="A41" s="15" t="s">
        <v>43</v>
      </c>
      <c r="B41" s="16"/>
      <c r="C41" s="17"/>
      <c r="E41" s="12" t="s">
        <v>60</v>
      </c>
      <c r="F41" s="13"/>
      <c r="G41" s="14"/>
      <c r="I41" s="12" t="s">
        <v>61</v>
      </c>
      <c r="J41" s="13"/>
      <c r="K41" s="14"/>
    </row>
    <row r="42" spans="1:11" ht="15.75" customHeight="1" x14ac:dyDescent="0.25">
      <c r="A42" s="9" t="s">
        <v>17</v>
      </c>
      <c r="B42" s="10"/>
      <c r="C42" s="11"/>
      <c r="E42" s="9" t="s">
        <v>17</v>
      </c>
      <c r="F42" s="10"/>
      <c r="G42" s="11"/>
      <c r="I42" s="9" t="s">
        <v>17</v>
      </c>
      <c r="J42" s="10"/>
      <c r="K42" s="11"/>
    </row>
    <row r="43" spans="1:11" ht="15.75" customHeight="1" x14ac:dyDescent="0.25">
      <c r="A43" s="3" t="s">
        <v>45</v>
      </c>
      <c r="B43" s="6" t="s">
        <v>47</v>
      </c>
      <c r="C43" s="3" t="s">
        <v>59</v>
      </c>
      <c r="E43" s="3" t="s">
        <v>62</v>
      </c>
      <c r="F43" s="6" t="s">
        <v>81</v>
      </c>
      <c r="G43" s="3" t="s">
        <v>59</v>
      </c>
      <c r="I43" s="4" t="s">
        <v>65</v>
      </c>
      <c r="J43" s="6" t="s">
        <v>84</v>
      </c>
      <c r="K43" s="3" t="s">
        <v>59</v>
      </c>
    </row>
    <row r="44" spans="1:11" ht="15.75" customHeight="1" x14ac:dyDescent="0.25">
      <c r="A44" s="3" t="s">
        <v>46</v>
      </c>
      <c r="B44" s="3" t="s">
        <v>48</v>
      </c>
      <c r="C44" s="3" t="s">
        <v>59</v>
      </c>
      <c r="E44" s="3" t="s">
        <v>63</v>
      </c>
      <c r="F44" s="3" t="s">
        <v>82</v>
      </c>
      <c r="G44" s="3" t="s">
        <v>59</v>
      </c>
      <c r="I44" s="3" t="s">
        <v>66</v>
      </c>
      <c r="J44" s="3" t="s">
        <v>85</v>
      </c>
      <c r="K44" s="3" t="s">
        <v>59</v>
      </c>
    </row>
    <row r="45" spans="1:11" ht="15.75" customHeight="1" x14ac:dyDescent="0.25">
      <c r="A45" s="3" t="s">
        <v>57</v>
      </c>
      <c r="B45" s="3" t="s">
        <v>58</v>
      </c>
      <c r="C45" s="3" t="s">
        <v>59</v>
      </c>
      <c r="E45" s="3" t="s">
        <v>64</v>
      </c>
      <c r="F45" s="3" t="s">
        <v>83</v>
      </c>
      <c r="G45" s="3" t="s">
        <v>59</v>
      </c>
      <c r="I45" s="3" t="s">
        <v>67</v>
      </c>
      <c r="J45" s="3" t="s">
        <v>86</v>
      </c>
      <c r="K45" s="3" t="s">
        <v>59</v>
      </c>
    </row>
    <row r="46" spans="1:11" ht="15.75" customHeight="1" x14ac:dyDescent="0.25">
      <c r="A46" s="9" t="s">
        <v>44</v>
      </c>
      <c r="B46" s="10"/>
      <c r="C46" s="11"/>
      <c r="E46" s="9" t="s">
        <v>44</v>
      </c>
      <c r="F46" s="10"/>
      <c r="G46" s="11"/>
      <c r="I46" s="9" t="s">
        <v>44</v>
      </c>
      <c r="J46" s="10"/>
      <c r="K46" s="11"/>
    </row>
    <row r="47" spans="1:11" ht="15.75" customHeight="1" x14ac:dyDescent="0.25">
      <c r="A47" s="3" t="s">
        <v>49</v>
      </c>
      <c r="B47" s="6" t="s">
        <v>50</v>
      </c>
      <c r="C47" s="3" t="s">
        <v>87</v>
      </c>
      <c r="E47" s="3" t="s">
        <v>68</v>
      </c>
      <c r="F47" s="6" t="s">
        <v>50</v>
      </c>
      <c r="G47" s="3" t="s">
        <v>87</v>
      </c>
      <c r="I47" s="3" t="s">
        <v>76</v>
      </c>
      <c r="J47" s="6" t="s">
        <v>50</v>
      </c>
      <c r="K47" s="3" t="s">
        <v>87</v>
      </c>
    </row>
    <row r="48" spans="1:11" ht="15.75" customHeight="1" x14ac:dyDescent="0.25">
      <c r="A48" s="3" t="s">
        <v>56</v>
      </c>
      <c r="B48" s="3" t="s">
        <v>51</v>
      </c>
      <c r="C48" s="3" t="s">
        <v>87</v>
      </c>
      <c r="E48" s="3" t="s">
        <v>69</v>
      </c>
      <c r="F48" s="3" t="s">
        <v>51</v>
      </c>
      <c r="G48" s="3" t="s">
        <v>87</v>
      </c>
      <c r="I48" s="3" t="s">
        <v>77</v>
      </c>
      <c r="J48" s="3" t="s">
        <v>51</v>
      </c>
      <c r="K48" s="3" t="s">
        <v>87</v>
      </c>
    </row>
    <row r="49" spans="1:11" ht="15.75" customHeight="1" x14ac:dyDescent="0.25">
      <c r="A49" s="3" t="s">
        <v>70</v>
      </c>
      <c r="B49" s="3" t="s">
        <v>52</v>
      </c>
      <c r="C49" s="3" t="s">
        <v>87</v>
      </c>
      <c r="E49" s="3" t="s">
        <v>73</v>
      </c>
      <c r="F49" s="3" t="s">
        <v>52</v>
      </c>
      <c r="G49" s="3" t="s">
        <v>87</v>
      </c>
      <c r="I49" s="3" t="s">
        <v>78</v>
      </c>
      <c r="J49" s="3" t="s">
        <v>52</v>
      </c>
      <c r="K49" s="3" t="s">
        <v>87</v>
      </c>
    </row>
    <row r="50" spans="1:11" ht="15.75" customHeight="1" x14ac:dyDescent="0.25">
      <c r="A50" s="3" t="s">
        <v>71</v>
      </c>
      <c r="B50" s="3" t="s">
        <v>53</v>
      </c>
      <c r="C50" s="3" t="s">
        <v>87</v>
      </c>
      <c r="E50" s="3" t="s">
        <v>74</v>
      </c>
      <c r="F50" s="3" t="s">
        <v>53</v>
      </c>
      <c r="G50" s="3" t="s">
        <v>87</v>
      </c>
      <c r="I50" s="3" t="s">
        <v>79</v>
      </c>
      <c r="J50" s="3" t="s">
        <v>53</v>
      </c>
      <c r="K50" s="3" t="s">
        <v>87</v>
      </c>
    </row>
    <row r="51" spans="1:11" ht="15.75" customHeight="1" x14ac:dyDescent="0.25">
      <c r="A51" s="7" t="s">
        <v>72</v>
      </c>
      <c r="B51" s="7" t="s">
        <v>54</v>
      </c>
      <c r="C51" s="7" t="s">
        <v>87</v>
      </c>
      <c r="E51" s="3" t="s">
        <v>75</v>
      </c>
      <c r="F51" s="3" t="s">
        <v>54</v>
      </c>
      <c r="G51" s="3" t="s">
        <v>87</v>
      </c>
      <c r="I51" s="3" t="s">
        <v>80</v>
      </c>
      <c r="J51" s="3" t="s">
        <v>54</v>
      </c>
      <c r="K51" s="3" t="s">
        <v>87</v>
      </c>
    </row>
    <row r="52" spans="1:11" ht="15.75" customHeight="1" x14ac:dyDescent="0.25">
      <c r="A52" s="4" t="s">
        <v>88</v>
      </c>
      <c r="B52" s="4" t="s">
        <v>55</v>
      </c>
      <c r="C52" s="3" t="s">
        <v>87</v>
      </c>
      <c r="E52" s="4" t="s">
        <v>89</v>
      </c>
      <c r="F52" s="4" t="s">
        <v>55</v>
      </c>
      <c r="G52" s="3" t="s">
        <v>87</v>
      </c>
      <c r="I52" s="4" t="s">
        <v>90</v>
      </c>
      <c r="J52" s="4" t="s">
        <v>55</v>
      </c>
      <c r="K52" s="3" t="s">
        <v>87</v>
      </c>
    </row>
    <row r="57" spans="1:11" ht="15.75" customHeight="1" x14ac:dyDescent="0.25">
      <c r="G57" s="8"/>
    </row>
    <row r="60" spans="1:11" ht="15.75" customHeight="1" x14ac:dyDescent="0.25">
      <c r="G60" s="8"/>
    </row>
  </sheetData>
  <mergeCells count="9">
    <mergeCell ref="A46:C46"/>
    <mergeCell ref="A42:C42"/>
    <mergeCell ref="A41:C41"/>
    <mergeCell ref="I46:K46"/>
    <mergeCell ref="I42:K42"/>
    <mergeCell ref="I41:K41"/>
    <mergeCell ref="E41:G41"/>
    <mergeCell ref="E42:G42"/>
    <mergeCell ref="E46:G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u202214090 (Bances Torres, Francesca Nicole)</cp:lastModifiedBy>
  <dcterms:created xsi:type="dcterms:W3CDTF">2026-05-27T18:50:04Z</dcterms:created>
  <dcterms:modified xsi:type="dcterms:W3CDTF">2026-06-03T06:08:56Z</dcterms:modified>
</cp:coreProperties>
</file>