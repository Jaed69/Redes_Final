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iel\Documents\GitHub\Redes_Final\"/>
    </mc:Choice>
  </mc:AlternateContent>
  <xr:revisionPtr revIDLastSave="0" documentId="8_{E55CA473-DEE7-46BE-B387-3A012DD0C6B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D8" i="1" a="1"/>
  <c r="H6" i="1"/>
  <c r="G6" i="1"/>
  <c r="D6" i="1" a="1"/>
  <c r="H5" i="1"/>
  <c r="G5" i="1"/>
  <c r="D5" i="1" a="1"/>
  <c r="D4" i="1" a="1"/>
  <c r="H4" i="1"/>
  <c r="G4" i="1"/>
  <c r="D8" i="1" l="1"/>
  <c r="D6" i="1"/>
  <c r="D5" i="1"/>
  <c r="D4" i="1"/>
  <c r="E8" i="1" l="1"/>
  <c r="F8" i="1"/>
  <c r="E6" i="1"/>
  <c r="F6" i="1"/>
  <c r="E5" i="1"/>
  <c r="F5" i="1"/>
  <c r="E4" i="1"/>
  <c r="F4" i="1"/>
  <c r="I8" i="1" l="1"/>
  <c r="J8" i="1"/>
  <c r="K8" i="1"/>
  <c r="I6" i="1"/>
  <c r="J6" i="1"/>
  <c r="K6" i="1"/>
  <c r="I5" i="1"/>
  <c r="J5" i="1"/>
  <c r="K5" i="1"/>
  <c r="J4" i="1"/>
  <c r="I4" i="1"/>
  <c r="K4" i="1"/>
</calcChain>
</file>

<file path=xl/sharedStrings.xml><?xml version="1.0" encoding="utf-8"?>
<sst xmlns="http://schemas.openxmlformats.org/spreadsheetml/2006/main" count="17" uniqueCount="17">
  <si>
    <t>Estructura de Planificación de Red VLSM</t>
  </si>
  <si>
    <t>Red Base: 192.168.10.0</t>
  </si>
  <si>
    <t>Ubicación / Nombre de Red</t>
  </si>
  <si>
    <t>Hosts requeridos</t>
  </si>
  <si>
    <t>IP Base Inicial (último octeto)</t>
  </si>
  <si>
    <t>Bits de Host (n)</t>
  </si>
  <si>
    <t>Tamaño del Bloque</t>
  </si>
  <si>
    <t>Máscara CIDR</t>
  </si>
  <si>
    <t>Dirección de Red</t>
  </si>
  <si>
    <t>Primera IP Útil</t>
  </si>
  <si>
    <t>Última IP Útil</t>
  </si>
  <si>
    <t>Broadcast</t>
  </si>
  <si>
    <t>Máscara Decimal (Bonus)</t>
  </si>
  <si>
    <t>Red 1</t>
  </si>
  <si>
    <t>Red 2</t>
  </si>
  <si>
    <t>Red 3</t>
  </si>
  <si>
    <t>Red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</si>
</sst>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"/>
  <sheetViews>
    <sheetView tabSelected="1" workbookViewId="0">
      <selection activeCell="B9" sqref="B9"/>
    </sheetView>
  </sheetViews>
  <sheetFormatPr defaultColWidth="12.5703125" defaultRowHeight="15.75" customHeight="1" x14ac:dyDescent="0.2"/>
  <cols>
    <col min="1" max="1" width="36.140625" bestFit="1" customWidth="1"/>
    <col min="2" max="2" width="15.140625" bestFit="1" customWidth="1"/>
    <col min="3" max="3" width="25.85546875" bestFit="1" customWidth="1"/>
    <col min="4" max="4" width="14.140625" bestFit="1" customWidth="1"/>
    <col min="5" max="5" width="17" bestFit="1" customWidth="1"/>
    <col min="6" max="6" width="13.140625" bestFit="1" customWidth="1"/>
    <col min="7" max="7" width="15.28515625" bestFit="1" customWidth="1"/>
    <col min="8" max="8" width="13.140625" bestFit="1" customWidth="1"/>
    <col min="9" max="10" width="13.85546875" bestFit="1" customWidth="1"/>
    <col min="11" max="11" width="22.85546875" bestFit="1" customWidth="1"/>
  </cols>
  <sheetData>
    <row r="1" spans="1:11" x14ac:dyDescent="0.2">
      <c r="A1" s="1" t="s">
        <v>0</v>
      </c>
    </row>
    <row r="2" spans="1:11" x14ac:dyDescent="0.2">
      <c r="A2" s="1" t="s">
        <v>1</v>
      </c>
    </row>
    <row r="3" spans="1:1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">
      <c r="A4" s="1" t="s">
        <v>13</v>
      </c>
      <c r="B4" s="1">
        <v>100</v>
      </c>
      <c r="C4" s="1">
        <v>0</v>
      </c>
      <c r="D4" s="1">
        <f t="array" ref="D4">MATCH(TRUE, (2^{0;1;2;3;4;5;6;7;8}) &gt;= (B4+2), 0) - 1</f>
        <v>7</v>
      </c>
      <c r="E4" s="1">
        <f>2^D4</f>
        <v>128</v>
      </c>
      <c r="F4" s="1">
        <f>32-D4</f>
        <v>25</v>
      </c>
      <c r="G4" s="1" t="str">
        <f>CONCATENATE("192.168.10.",C4)</f>
        <v>192.168.10.0</v>
      </c>
      <c r="H4" s="1" t="str">
        <f>CONCATENATE("192.168.10.",C4 +1)</f>
        <v>192.168.10.1</v>
      </c>
      <c r="I4" s="1" t="str">
        <f>CONCATENATE("192.168.10.",C4 + E4 - 2)</f>
        <v>192.168.10.126</v>
      </c>
      <c r="J4" s="1" t="str">
        <f>CONCATENATE("192.168.10.",C4 + E4 - 1)</f>
        <v>192.168.10.127</v>
      </c>
      <c r="K4" s="1" t="str">
        <f>CONCATENATE("255.255.255.", 256 - E4)</f>
        <v>255.255.255.128</v>
      </c>
    </row>
    <row r="5" spans="1:11" x14ac:dyDescent="0.2">
      <c r="A5" s="1" t="s">
        <v>14</v>
      </c>
      <c r="B5" s="1">
        <v>50</v>
      </c>
      <c r="C5" s="1">
        <v>128</v>
      </c>
      <c r="D5" s="1">
        <f t="array" ref="D5">MATCH(TRUE, (2^{0;1;2;3;4;5;6;7;8}) &gt;= (B5+2), 0) - 1</f>
        <v>6</v>
      </c>
      <c r="E5" s="1">
        <f>2^D5</f>
        <v>64</v>
      </c>
      <c r="F5" s="1">
        <f>32-D5</f>
        <v>26</v>
      </c>
      <c r="G5" s="1" t="str">
        <f>CONCATENATE("192.168.10.",C5)</f>
        <v>192.168.10.128</v>
      </c>
      <c r="H5" s="1" t="str">
        <f>CONCATENATE("192.168.10.",C5 +1)</f>
        <v>192.168.10.129</v>
      </c>
      <c r="I5" s="1" t="str">
        <f>CONCATENATE("192.168.10.",C5 + E5 - 2)</f>
        <v>192.168.10.190</v>
      </c>
      <c r="J5" s="1" t="str">
        <f>CONCATENATE("192.168.10.",C5 + E5 - 1)</f>
        <v>192.168.10.191</v>
      </c>
      <c r="K5" s="1" t="str">
        <f>CONCATENATE("255.255.255.", 256 - E5)</f>
        <v>255.255.255.192</v>
      </c>
    </row>
    <row r="6" spans="1:11" x14ac:dyDescent="0.2">
      <c r="A6" s="1" t="s">
        <v>15</v>
      </c>
      <c r="B6" s="1">
        <v>20</v>
      </c>
      <c r="C6" s="1">
        <v>192</v>
      </c>
      <c r="D6" s="1">
        <f t="array" ref="D6">MATCH(TRUE, (2^{0;1;2;3;4;5;6;7;8}) &gt;= (B6+2), 0) - 1</f>
        <v>5</v>
      </c>
      <c r="E6" s="1">
        <f>2^D6</f>
        <v>32</v>
      </c>
      <c r="F6" s="1">
        <f>32-D6</f>
        <v>27</v>
      </c>
      <c r="G6" s="1" t="str">
        <f>CONCATENATE("192.168.10.",C6)</f>
        <v>192.168.10.192</v>
      </c>
      <c r="H6" s="1" t="str">
        <f>CONCATENATE("192.168.10.",C6 +1)</f>
        <v>192.168.10.193</v>
      </c>
      <c r="I6" s="1" t="str">
        <f>CONCATENATE("192.168.10.",C6 + E6 - 2)</f>
        <v>192.168.10.222</v>
      </c>
      <c r="J6" s="1" t="str">
        <f>CONCATENATE("192.168.10.",C6 + E6 - 1)</f>
        <v>192.168.10.223</v>
      </c>
      <c r="K6" s="1" t="str">
        <f>CONCATENATE("255.255.255.", 256 - E6)</f>
        <v>255.255.255.224</v>
      </c>
    </row>
    <row r="7" spans="1:11" x14ac:dyDescent="0.2"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" t="s">
        <v>16</v>
      </c>
      <c r="B8" s="1">
        <v>150</v>
      </c>
      <c r="C8" s="1">
        <v>0</v>
      </c>
      <c r="D8" s="1">
        <f t="array" ref="D8">MATCH(TRUE, (2^{0;1;2;3;4;5;6;7;8}) &gt;= (B8+2), 0) - 1</f>
        <v>8</v>
      </c>
      <c r="E8" s="1">
        <f>2^D8</f>
        <v>256</v>
      </c>
      <c r="F8" s="1">
        <f>32-D8</f>
        <v>24</v>
      </c>
      <c r="G8" s="1" t="str">
        <f>CONCATENATE("192.168.10.",C8)</f>
        <v>192.168.10.0</v>
      </c>
      <c r="H8" s="1" t="str">
        <f>CONCATENATE("192.168.10.",C8 +1)</f>
        <v>192.168.10.1</v>
      </c>
      <c r="I8" s="1" t="str">
        <f>CONCATENATE("192.168.10.",C8 + E8 - 2)</f>
        <v>192.168.10.254</v>
      </c>
      <c r="J8" s="1" t="str">
        <f>CONCATENATE("192.168.10.",C8 + E8 - 1)</f>
        <v>192.168.10.255</v>
      </c>
      <c r="K8" s="1" t="str">
        <f>CONCATENATE("255.255.255.", 256 - E8)</f>
        <v>255.255.255.0</v>
      </c>
    </row>
    <row r="9" spans="1:11" x14ac:dyDescent="0.2"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"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"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"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">
      <c r="C16" s="1"/>
      <c r="D16" s="1"/>
      <c r="E16" s="1"/>
      <c r="F16" s="1"/>
      <c r="G16" s="1"/>
      <c r="H16" s="1"/>
      <c r="I16" s="1"/>
      <c r="J16" s="1"/>
      <c r="K16" s="1"/>
    </row>
    <row r="17" spans="3:11" x14ac:dyDescent="0.2">
      <c r="C17" s="1"/>
      <c r="D17" s="1"/>
      <c r="E17" s="1"/>
      <c r="F17" s="1"/>
      <c r="G17" s="1"/>
      <c r="H17" s="1"/>
      <c r="I17" s="1"/>
      <c r="J17" s="1"/>
      <c r="K17" s="1"/>
    </row>
    <row r="18" spans="3:11" x14ac:dyDescent="0.2">
      <c r="C18" s="1"/>
      <c r="D18" s="1"/>
      <c r="E18" s="1"/>
      <c r="F18" s="1"/>
      <c r="G18" s="1"/>
      <c r="H18" s="1"/>
      <c r="I18" s="1"/>
      <c r="J18" s="1"/>
      <c r="K18" s="1"/>
    </row>
    <row r="19" spans="3:11" x14ac:dyDescent="0.2">
      <c r="C19" s="1"/>
      <c r="D19" s="1"/>
      <c r="E19" s="1"/>
      <c r="F19" s="1"/>
      <c r="G19" s="1"/>
      <c r="H19" s="1"/>
      <c r="I19" s="1"/>
      <c r="J19" s="1"/>
      <c r="K19" s="1"/>
    </row>
    <row r="20" spans="3:11" x14ac:dyDescent="0.2">
      <c r="C20" s="1"/>
      <c r="D20" s="1"/>
      <c r="E20" s="1"/>
      <c r="F20" s="1"/>
      <c r="G20" s="1"/>
      <c r="H20" s="1"/>
      <c r="I20" s="1"/>
      <c r="J20" s="1"/>
      <c r="K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Luciel</dc:creator>
  <cp:lastModifiedBy>Jhamil Peña Cardenas</cp:lastModifiedBy>
  <dcterms:created xsi:type="dcterms:W3CDTF">2026-05-27T18:50:04Z</dcterms:created>
  <dcterms:modified xsi:type="dcterms:W3CDTF">2026-05-28T00:57:02Z</dcterms:modified>
</cp:coreProperties>
</file>